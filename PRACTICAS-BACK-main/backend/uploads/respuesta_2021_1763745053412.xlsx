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licers/slicer1.xml" ContentType="application/vnd.ms-excel.slicer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slicers/slicer3.xml" ContentType="application/vnd.ms-excel.slicer+xml"/>
  <Override PartName="/xl/comments4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teloj\Downloads\"/>
    </mc:Choice>
  </mc:AlternateContent>
  <xr:revisionPtr revIDLastSave="0" documentId="13_ncr:1_{E7C81EC2-6981-46CB-B5C0-E09FBAE91FF3}" xr6:coauthVersionLast="47" xr6:coauthVersionMax="47" xr10:uidLastSave="{00000000-0000-0000-0000-000000000000}"/>
  <bookViews>
    <workbookView xWindow="-108" yWindow="-108" windowWidth="23256" windowHeight="12456" tabRatio="784" activeTab="2" xr2:uid="{00000000-000D-0000-FFFF-FFFF00000000}"/>
  </bookViews>
  <sheets>
    <sheet name="Resumen General x Edades" sheetId="1" r:id="rId1"/>
    <sheet name="PROVISION" sheetId="5" r:id="rId2"/>
    <sheet name="Nuevo Modelo2" sheetId="12" r:id="rId3"/>
    <sheet name="PRESENT 2" sheetId="17" r:id="rId4"/>
    <sheet name="Hoja1" sheetId="21" state="hidden" r:id="rId5"/>
    <sheet name="X Año" sheetId="19" r:id="rId6"/>
    <sheet name="X EPS" sheetId="2" r:id="rId7"/>
    <sheet name="Nuevo Modelo2 (2)" sheetId="22" state="hidden" r:id="rId8"/>
    <sheet name="X Pago" sheetId="20" state="hidden" r:id="rId9"/>
    <sheet name="PAGOS" sheetId="23" r:id="rId10"/>
  </sheets>
  <definedNames>
    <definedName name="_xlnm._FilterDatabase" localSheetId="2" hidden="1">'Nuevo Modelo2'!$A$28:$M$62</definedName>
    <definedName name="_xlnm._FilterDatabase" localSheetId="7" hidden="1">'Nuevo Modelo2 (2)'!$A$28:$M$61</definedName>
    <definedName name="_xlnm._FilterDatabase" localSheetId="9" hidden="1">PAGOS!$A$1:$AQ$618</definedName>
    <definedName name="_xlnm._FilterDatabase" localSheetId="0" hidden="1">'Resumen General x Edades'!$A$6:$T$79</definedName>
    <definedName name="_xlnm._FilterDatabase" localSheetId="6" hidden="1">'X EPS'!$B$7:$I$7</definedName>
    <definedName name="_xlnm.Print_Area" localSheetId="3">'PRESENT 2'!$B$1:$P$103</definedName>
    <definedName name="INTERVENIDAS">#REF!</definedName>
    <definedName name="Resumen">#REF!</definedName>
    <definedName name="SegmentaciónDeDatos_EPS_intervenida">#N/A</definedName>
    <definedName name="SegmentaciónDeDatos_EPS_intervenida1">#N/A</definedName>
    <definedName name="SegmentaciónDeDatos_MES">#N/A</definedName>
  </definedNames>
  <calcPr calcId="191029"/>
  <pivotCaches>
    <pivotCache cacheId="11" r:id="rId11"/>
    <pivotCache cacheId="12" r:id="rId12"/>
    <pivotCache cacheId="13" r:id="rId13"/>
    <pivotCache cacheId="14" r:id="rId14"/>
    <pivotCache cacheId="15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6" i="12" l="1"/>
  <c r="G76" i="1"/>
  <c r="B61" i="12" l="1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AQ618" i="23"/>
  <c r="AQ617" i="23"/>
  <c r="AQ616" i="23"/>
  <c r="AQ615" i="23"/>
  <c r="AQ614" i="23"/>
  <c r="AQ613" i="23"/>
  <c r="AQ612" i="23"/>
  <c r="AQ611" i="23"/>
  <c r="AQ610" i="23"/>
  <c r="AQ609" i="23"/>
  <c r="AQ608" i="23"/>
  <c r="AQ607" i="23"/>
  <c r="AQ606" i="23"/>
  <c r="AQ605" i="23"/>
  <c r="AQ604" i="23"/>
  <c r="AQ603" i="23"/>
  <c r="AQ602" i="23"/>
  <c r="AQ601" i="23"/>
  <c r="AQ600" i="23"/>
  <c r="AQ599" i="23"/>
  <c r="AQ598" i="23"/>
  <c r="AQ597" i="23"/>
  <c r="AQ596" i="23"/>
  <c r="AQ595" i="23"/>
  <c r="AQ594" i="23"/>
  <c r="AQ593" i="23"/>
  <c r="AQ592" i="23"/>
  <c r="AQ591" i="23"/>
  <c r="AQ590" i="23"/>
  <c r="AQ589" i="23"/>
  <c r="AQ588" i="23"/>
  <c r="AQ587" i="23"/>
  <c r="AQ586" i="23"/>
  <c r="AQ585" i="23"/>
  <c r="AQ584" i="23"/>
  <c r="AQ583" i="23"/>
  <c r="AQ582" i="23"/>
  <c r="AQ581" i="23"/>
  <c r="AQ580" i="23"/>
  <c r="AQ579" i="23"/>
  <c r="AQ578" i="23"/>
  <c r="AQ577" i="23"/>
  <c r="AQ576" i="23"/>
  <c r="AQ575" i="23"/>
  <c r="AQ574" i="23"/>
  <c r="AQ573" i="23"/>
  <c r="AQ572" i="23"/>
  <c r="AQ571" i="23"/>
  <c r="AQ570" i="23"/>
  <c r="AQ569" i="23"/>
  <c r="AQ568" i="23"/>
  <c r="AQ567" i="23"/>
  <c r="AQ566" i="23"/>
  <c r="AQ565" i="23"/>
  <c r="AQ564" i="23"/>
  <c r="AQ563" i="23"/>
  <c r="AQ562" i="23"/>
  <c r="AQ561" i="23"/>
  <c r="AQ560" i="23"/>
  <c r="AQ559" i="23"/>
  <c r="AQ558" i="23"/>
  <c r="AQ557" i="23"/>
  <c r="AQ556" i="23"/>
  <c r="AQ555" i="23"/>
  <c r="AQ554" i="23"/>
  <c r="AQ553" i="23"/>
  <c r="AQ552" i="23"/>
  <c r="AQ551" i="23"/>
  <c r="AQ550" i="23"/>
  <c r="AQ549" i="23"/>
  <c r="AQ548" i="23"/>
  <c r="AQ547" i="23"/>
  <c r="AQ546" i="23"/>
  <c r="AQ545" i="23"/>
  <c r="AQ544" i="23"/>
  <c r="AQ543" i="23"/>
  <c r="AQ542" i="23"/>
  <c r="AQ541" i="23"/>
  <c r="AQ540" i="23"/>
  <c r="AQ539" i="23"/>
  <c r="AQ538" i="23"/>
  <c r="AQ537" i="23"/>
  <c r="AQ536" i="23"/>
  <c r="AQ535" i="23"/>
  <c r="AQ534" i="23"/>
  <c r="AQ533" i="23"/>
  <c r="AQ532" i="23"/>
  <c r="AQ531" i="23"/>
  <c r="AQ530" i="23"/>
  <c r="AQ529" i="23"/>
  <c r="AQ528" i="23"/>
  <c r="AQ527" i="23"/>
  <c r="AQ526" i="23"/>
  <c r="AQ525" i="23"/>
  <c r="AQ524" i="23"/>
  <c r="AQ523" i="23"/>
  <c r="AQ522" i="23"/>
  <c r="AQ521" i="23"/>
  <c r="AQ520" i="23"/>
  <c r="AQ519" i="23"/>
  <c r="AQ518" i="23"/>
  <c r="AQ517" i="23"/>
  <c r="AQ516" i="23"/>
  <c r="AQ515" i="23"/>
  <c r="AQ514" i="23"/>
  <c r="AQ513" i="23"/>
  <c r="AQ512" i="23"/>
  <c r="AQ511" i="23"/>
  <c r="AQ510" i="23"/>
  <c r="AQ509" i="23"/>
  <c r="AQ508" i="23"/>
  <c r="AQ507" i="23"/>
  <c r="AQ506" i="23"/>
  <c r="AQ505" i="23"/>
  <c r="AQ504" i="23"/>
  <c r="AQ503" i="23"/>
  <c r="AQ502" i="23"/>
  <c r="AQ501" i="23"/>
  <c r="AQ500" i="23"/>
  <c r="AQ499" i="23"/>
  <c r="AQ498" i="23"/>
  <c r="AQ497" i="23"/>
  <c r="AQ496" i="23"/>
  <c r="AQ495" i="23"/>
  <c r="AQ494" i="23"/>
  <c r="AQ493" i="23"/>
  <c r="AQ492" i="23"/>
  <c r="AQ491" i="23"/>
  <c r="AQ490" i="23"/>
  <c r="AQ489" i="23"/>
  <c r="AQ488" i="23"/>
  <c r="AQ487" i="23"/>
  <c r="AQ486" i="23"/>
  <c r="AQ485" i="23"/>
  <c r="AQ484" i="23"/>
  <c r="AQ483" i="23"/>
  <c r="AQ482" i="23"/>
  <c r="AQ481" i="23"/>
  <c r="AQ480" i="23"/>
  <c r="AQ479" i="23"/>
  <c r="AQ478" i="23"/>
  <c r="AQ477" i="23"/>
  <c r="AQ476" i="23"/>
  <c r="AQ475" i="23"/>
  <c r="AQ474" i="23"/>
  <c r="AQ473" i="23"/>
  <c r="AQ472" i="23"/>
  <c r="AQ471" i="23"/>
  <c r="AQ470" i="23"/>
  <c r="AQ469" i="23"/>
  <c r="AQ468" i="23"/>
  <c r="AQ467" i="23"/>
  <c r="AQ466" i="23"/>
  <c r="AQ465" i="23"/>
  <c r="AQ464" i="23"/>
  <c r="AQ463" i="23"/>
  <c r="AQ462" i="23"/>
  <c r="AQ461" i="23"/>
  <c r="AQ460" i="23"/>
  <c r="AQ459" i="23"/>
  <c r="AQ458" i="23"/>
  <c r="AQ457" i="23"/>
  <c r="AQ456" i="23"/>
  <c r="AQ455" i="23"/>
  <c r="AQ454" i="23"/>
  <c r="AQ453" i="23"/>
  <c r="AQ452" i="23"/>
  <c r="AQ451" i="23"/>
  <c r="AQ450" i="23"/>
  <c r="AQ449" i="23"/>
  <c r="AQ448" i="23"/>
  <c r="AQ447" i="23"/>
  <c r="AQ446" i="23"/>
  <c r="AQ445" i="23"/>
  <c r="AQ444" i="23"/>
  <c r="AQ443" i="23"/>
  <c r="AQ442" i="23"/>
  <c r="AQ441" i="23"/>
  <c r="AQ440" i="23"/>
  <c r="AQ439" i="23"/>
  <c r="AQ438" i="23"/>
  <c r="AQ437" i="23"/>
  <c r="AQ436" i="23"/>
  <c r="AQ435" i="23"/>
  <c r="AQ434" i="23"/>
  <c r="AQ433" i="23"/>
  <c r="AQ432" i="23"/>
  <c r="AQ431" i="23"/>
  <c r="AQ430" i="23"/>
  <c r="AQ429" i="23"/>
  <c r="AQ428" i="23"/>
  <c r="AQ427" i="23"/>
  <c r="AQ426" i="23"/>
  <c r="AQ425" i="23"/>
  <c r="AQ424" i="23"/>
  <c r="AQ423" i="23"/>
  <c r="AQ422" i="23"/>
  <c r="AQ421" i="23"/>
  <c r="AQ420" i="23"/>
  <c r="AQ419" i="23"/>
  <c r="AQ418" i="23"/>
  <c r="AQ417" i="23"/>
  <c r="AQ416" i="23"/>
  <c r="AQ415" i="23"/>
  <c r="AQ414" i="23"/>
  <c r="AQ413" i="23"/>
  <c r="AQ412" i="23"/>
  <c r="AQ411" i="23"/>
  <c r="AQ410" i="23"/>
  <c r="AQ409" i="23"/>
  <c r="AQ408" i="23"/>
  <c r="AQ407" i="23"/>
  <c r="AQ406" i="23"/>
  <c r="AQ405" i="23"/>
  <c r="AQ404" i="23"/>
  <c r="AQ403" i="23"/>
  <c r="AQ402" i="23"/>
  <c r="AQ401" i="23"/>
  <c r="AQ400" i="23"/>
  <c r="AQ399" i="23"/>
  <c r="AQ398" i="23"/>
  <c r="AQ397" i="23"/>
  <c r="AQ396" i="23"/>
  <c r="AQ395" i="23"/>
  <c r="AQ394" i="23"/>
  <c r="AQ393" i="23"/>
  <c r="AQ392" i="23"/>
  <c r="AQ391" i="23"/>
  <c r="AQ390" i="23"/>
  <c r="AQ389" i="23"/>
  <c r="AQ388" i="23"/>
  <c r="AQ387" i="23"/>
  <c r="AQ386" i="23"/>
  <c r="AQ385" i="23"/>
  <c r="AQ384" i="23"/>
  <c r="AQ383" i="23"/>
  <c r="AQ382" i="23"/>
  <c r="AQ381" i="23"/>
  <c r="AQ380" i="23"/>
  <c r="AQ379" i="23"/>
  <c r="AQ378" i="23"/>
  <c r="AQ377" i="23"/>
  <c r="AQ376" i="23"/>
  <c r="AQ375" i="23"/>
  <c r="AQ374" i="23"/>
  <c r="AQ373" i="23"/>
  <c r="AQ372" i="23"/>
  <c r="AQ371" i="23"/>
  <c r="AQ370" i="23"/>
  <c r="AQ369" i="23"/>
  <c r="AQ368" i="23"/>
  <c r="AQ367" i="23"/>
  <c r="AQ366" i="23"/>
  <c r="AQ365" i="23"/>
  <c r="AQ364" i="23"/>
  <c r="AQ363" i="23"/>
  <c r="AQ362" i="23"/>
  <c r="AQ361" i="23"/>
  <c r="AQ360" i="23"/>
  <c r="AQ359" i="23"/>
  <c r="AQ358" i="23"/>
  <c r="AQ357" i="23"/>
  <c r="AQ356" i="23"/>
  <c r="AQ355" i="23"/>
  <c r="AQ354" i="23"/>
  <c r="AQ353" i="23"/>
  <c r="AQ352" i="23"/>
  <c r="AQ351" i="23"/>
  <c r="AQ350" i="23"/>
  <c r="AQ349" i="23"/>
  <c r="AQ348" i="23"/>
  <c r="AQ347" i="23"/>
  <c r="AQ346" i="23"/>
  <c r="AQ345" i="23"/>
  <c r="AQ344" i="23"/>
  <c r="AQ343" i="23"/>
  <c r="AQ342" i="23"/>
  <c r="AQ341" i="23"/>
  <c r="AQ340" i="23"/>
  <c r="AQ339" i="23"/>
  <c r="AQ338" i="23"/>
  <c r="AQ337" i="23"/>
  <c r="AQ336" i="23"/>
  <c r="AQ335" i="23"/>
  <c r="AQ334" i="23"/>
  <c r="AQ333" i="23"/>
  <c r="AQ332" i="23"/>
  <c r="AQ331" i="23"/>
  <c r="AQ330" i="23"/>
  <c r="AQ329" i="23"/>
  <c r="AQ328" i="23"/>
  <c r="AQ327" i="23"/>
  <c r="AQ326" i="23"/>
  <c r="AQ325" i="23"/>
  <c r="AQ324" i="23"/>
  <c r="AQ323" i="23"/>
  <c r="AQ322" i="23"/>
  <c r="AQ321" i="23"/>
  <c r="AQ320" i="23"/>
  <c r="AQ319" i="23"/>
  <c r="AQ318" i="23"/>
  <c r="AQ317" i="23"/>
  <c r="AQ316" i="23"/>
  <c r="AQ315" i="23"/>
  <c r="AQ314" i="23"/>
  <c r="AQ313" i="23"/>
  <c r="AQ312" i="23"/>
  <c r="AQ311" i="23"/>
  <c r="AQ310" i="23"/>
  <c r="AQ309" i="23"/>
  <c r="AQ308" i="23"/>
  <c r="AQ307" i="23"/>
  <c r="AQ306" i="23"/>
  <c r="AQ305" i="23"/>
  <c r="AQ304" i="23"/>
  <c r="AQ303" i="23"/>
  <c r="AQ302" i="23"/>
  <c r="AQ301" i="23"/>
  <c r="AQ300" i="23"/>
  <c r="AQ299" i="23"/>
  <c r="AQ298" i="23"/>
  <c r="AQ297" i="23"/>
  <c r="AQ296" i="23"/>
  <c r="AQ295" i="23"/>
  <c r="AQ294" i="23"/>
  <c r="AQ293" i="23"/>
  <c r="AQ292" i="23"/>
  <c r="AQ291" i="23"/>
  <c r="AQ290" i="23"/>
  <c r="AQ289" i="23"/>
  <c r="AQ288" i="23"/>
  <c r="AQ287" i="23"/>
  <c r="AQ286" i="23"/>
  <c r="AQ285" i="23"/>
  <c r="AQ284" i="23"/>
  <c r="AQ283" i="23"/>
  <c r="AQ282" i="23"/>
  <c r="AQ281" i="23"/>
  <c r="AQ280" i="23"/>
  <c r="AQ279" i="23"/>
  <c r="AQ278" i="23"/>
  <c r="AQ277" i="23"/>
  <c r="AQ276" i="23"/>
  <c r="AQ275" i="23"/>
  <c r="AQ274" i="23"/>
  <c r="AQ273" i="23"/>
  <c r="AQ272" i="23"/>
  <c r="AQ271" i="23"/>
  <c r="AQ270" i="23"/>
  <c r="AQ269" i="23"/>
  <c r="AQ268" i="23"/>
  <c r="AQ267" i="23"/>
  <c r="AQ266" i="23"/>
  <c r="AQ265" i="23"/>
  <c r="AQ264" i="23"/>
  <c r="AQ263" i="23"/>
  <c r="AQ262" i="23"/>
  <c r="AQ261" i="23"/>
  <c r="AQ260" i="23"/>
  <c r="AQ259" i="23"/>
  <c r="AQ258" i="23"/>
  <c r="AQ257" i="23"/>
  <c r="AQ256" i="23"/>
  <c r="AQ255" i="23"/>
  <c r="AQ254" i="23"/>
  <c r="AQ253" i="23"/>
  <c r="AQ252" i="23"/>
  <c r="AQ251" i="23"/>
  <c r="AQ250" i="23"/>
  <c r="AQ249" i="23"/>
  <c r="AQ248" i="23"/>
  <c r="AQ247" i="23"/>
  <c r="AQ246" i="23"/>
  <c r="AQ245" i="23"/>
  <c r="AQ244" i="23"/>
  <c r="AQ243" i="23"/>
  <c r="AQ242" i="23"/>
  <c r="AQ241" i="23"/>
  <c r="AQ240" i="23"/>
  <c r="AQ239" i="23"/>
  <c r="AQ238" i="23"/>
  <c r="AQ237" i="23"/>
  <c r="AQ236" i="23"/>
  <c r="AQ235" i="23"/>
  <c r="AQ234" i="23"/>
  <c r="AQ233" i="23"/>
  <c r="AQ232" i="23"/>
  <c r="AQ231" i="23"/>
  <c r="AQ230" i="23"/>
  <c r="AQ229" i="23"/>
  <c r="AQ228" i="23"/>
  <c r="AQ227" i="23"/>
  <c r="AQ226" i="23"/>
  <c r="AQ225" i="23"/>
  <c r="AQ224" i="23"/>
  <c r="AQ223" i="23"/>
  <c r="AQ222" i="23"/>
  <c r="AQ221" i="23"/>
  <c r="AQ220" i="23"/>
  <c r="AQ219" i="23"/>
  <c r="AQ218" i="23"/>
  <c r="AQ217" i="23"/>
  <c r="AQ216" i="23"/>
  <c r="AQ215" i="23"/>
  <c r="AQ214" i="23"/>
  <c r="AQ213" i="23"/>
  <c r="AQ212" i="23"/>
  <c r="AQ211" i="23"/>
  <c r="AQ210" i="23"/>
  <c r="AQ209" i="23"/>
  <c r="AQ208" i="23"/>
  <c r="AQ207" i="23"/>
  <c r="AQ206" i="23"/>
  <c r="AQ205" i="23"/>
  <c r="AQ204" i="23"/>
  <c r="AQ203" i="23"/>
  <c r="AQ202" i="23"/>
  <c r="AQ201" i="23"/>
  <c r="AQ200" i="23"/>
  <c r="AQ199" i="23"/>
  <c r="AQ198" i="23"/>
  <c r="AQ197" i="23"/>
  <c r="AQ196" i="23"/>
  <c r="AQ195" i="23"/>
  <c r="AQ194" i="23"/>
  <c r="AQ193" i="23"/>
  <c r="AQ192" i="23"/>
  <c r="AQ191" i="23"/>
  <c r="AQ190" i="23"/>
  <c r="AQ189" i="23"/>
  <c r="AQ188" i="23"/>
  <c r="AQ187" i="23"/>
  <c r="AQ186" i="23"/>
  <c r="AQ185" i="23"/>
  <c r="AQ184" i="23"/>
  <c r="AQ183" i="23"/>
  <c r="AQ182" i="23"/>
  <c r="AQ181" i="23"/>
  <c r="AQ180" i="23"/>
  <c r="AQ179" i="23"/>
  <c r="AQ178" i="23"/>
  <c r="AQ177" i="23"/>
  <c r="AQ176" i="23"/>
  <c r="AQ175" i="23"/>
  <c r="AQ174" i="23"/>
  <c r="AQ173" i="23"/>
  <c r="AQ172" i="23"/>
  <c r="AQ171" i="23"/>
  <c r="AQ170" i="23"/>
  <c r="AQ169" i="23"/>
  <c r="AQ168" i="23"/>
  <c r="AQ167" i="23"/>
  <c r="AQ166" i="23"/>
  <c r="AQ165" i="23"/>
  <c r="AQ164" i="23"/>
  <c r="AQ163" i="23"/>
  <c r="AQ162" i="23"/>
  <c r="AQ161" i="23"/>
  <c r="AQ160" i="23"/>
  <c r="AQ159" i="23"/>
  <c r="AQ158" i="23"/>
  <c r="AQ157" i="23"/>
  <c r="AQ156" i="23"/>
  <c r="AQ155" i="23"/>
  <c r="AQ154" i="23"/>
  <c r="AQ153" i="23"/>
  <c r="AQ152" i="23"/>
  <c r="AQ151" i="23"/>
  <c r="AQ150" i="23"/>
  <c r="AQ149" i="23"/>
  <c r="AQ148" i="23"/>
  <c r="AQ147" i="23"/>
  <c r="AQ146" i="23"/>
  <c r="AQ145" i="23"/>
  <c r="AQ144" i="23"/>
  <c r="AQ143" i="23"/>
  <c r="AQ142" i="23"/>
  <c r="AQ141" i="23"/>
  <c r="AQ140" i="23"/>
  <c r="AQ139" i="23"/>
  <c r="AQ138" i="23"/>
  <c r="AQ137" i="23"/>
  <c r="AQ136" i="23"/>
  <c r="AQ135" i="23"/>
  <c r="AQ134" i="23"/>
  <c r="AQ133" i="23"/>
  <c r="AQ132" i="23"/>
  <c r="AQ131" i="23"/>
  <c r="AQ130" i="23"/>
  <c r="AQ129" i="23"/>
  <c r="AQ128" i="23"/>
  <c r="AQ127" i="23"/>
  <c r="AQ126" i="23"/>
  <c r="AQ125" i="23"/>
  <c r="AQ124" i="23"/>
  <c r="AQ123" i="23"/>
  <c r="AQ122" i="23"/>
  <c r="AQ121" i="23"/>
  <c r="AQ120" i="23"/>
  <c r="AQ119" i="23"/>
  <c r="AQ118" i="23"/>
  <c r="AQ117" i="23"/>
  <c r="AQ116" i="23"/>
  <c r="AQ115" i="23"/>
  <c r="AQ114" i="23"/>
  <c r="AQ113" i="23"/>
  <c r="AQ112" i="23"/>
  <c r="AQ111" i="23"/>
  <c r="AQ110" i="23"/>
  <c r="AQ109" i="23"/>
  <c r="AQ108" i="23"/>
  <c r="AQ107" i="23"/>
  <c r="AQ106" i="23"/>
  <c r="AQ105" i="23"/>
  <c r="AQ104" i="23"/>
  <c r="AQ103" i="23"/>
  <c r="AQ102" i="23"/>
  <c r="AQ101" i="23"/>
  <c r="AQ100" i="23"/>
  <c r="AQ99" i="23"/>
  <c r="AQ98" i="23"/>
  <c r="AQ97" i="23"/>
  <c r="AQ96" i="23"/>
  <c r="AQ95" i="23"/>
  <c r="AQ94" i="23"/>
  <c r="AQ93" i="23"/>
  <c r="AQ92" i="23"/>
  <c r="AQ91" i="23"/>
  <c r="AQ90" i="23"/>
  <c r="AQ89" i="23"/>
  <c r="AQ88" i="23"/>
  <c r="AQ87" i="23"/>
  <c r="AQ86" i="23"/>
  <c r="AQ85" i="23"/>
  <c r="AQ84" i="23"/>
  <c r="AQ83" i="23"/>
  <c r="AQ82" i="23"/>
  <c r="AQ81" i="23"/>
  <c r="AQ80" i="23"/>
  <c r="AQ79" i="23"/>
  <c r="AQ78" i="23"/>
  <c r="AQ77" i="23"/>
  <c r="AQ76" i="23"/>
  <c r="AQ75" i="23"/>
  <c r="AQ74" i="23"/>
  <c r="AQ73" i="23"/>
  <c r="AQ72" i="23"/>
  <c r="AQ71" i="23"/>
  <c r="AQ70" i="23"/>
  <c r="AQ69" i="23"/>
  <c r="AQ68" i="23"/>
  <c r="AQ67" i="23"/>
  <c r="AQ66" i="23"/>
  <c r="AQ65" i="23"/>
  <c r="AQ64" i="23"/>
  <c r="AQ63" i="23"/>
  <c r="AQ62" i="23"/>
  <c r="AQ61" i="23"/>
  <c r="AQ60" i="23"/>
  <c r="AQ59" i="23"/>
  <c r="AQ58" i="23"/>
  <c r="AQ57" i="23"/>
  <c r="AQ56" i="23"/>
  <c r="AQ55" i="23"/>
  <c r="AQ54" i="23"/>
  <c r="AQ53" i="23"/>
  <c r="AQ52" i="23"/>
  <c r="AQ51" i="23"/>
  <c r="AQ50" i="23"/>
  <c r="AQ49" i="23"/>
  <c r="AQ48" i="23"/>
  <c r="AQ47" i="23"/>
  <c r="AQ46" i="23"/>
  <c r="AQ45" i="23"/>
  <c r="AQ44" i="23"/>
  <c r="AQ43" i="23"/>
  <c r="AQ42" i="23"/>
  <c r="AQ41" i="23"/>
  <c r="AQ40" i="23"/>
  <c r="AQ39" i="23"/>
  <c r="AQ38" i="23"/>
  <c r="AQ37" i="23"/>
  <c r="AQ36" i="23"/>
  <c r="AQ35" i="23"/>
  <c r="AQ34" i="23"/>
  <c r="AQ33" i="23"/>
  <c r="AQ32" i="23"/>
  <c r="AQ31" i="23"/>
  <c r="AQ30" i="23"/>
  <c r="AQ29" i="23"/>
  <c r="AQ28" i="23"/>
  <c r="AQ27" i="23"/>
  <c r="AQ26" i="23"/>
  <c r="AQ25" i="23"/>
  <c r="AQ24" i="23"/>
  <c r="AQ23" i="23"/>
  <c r="AQ22" i="23"/>
  <c r="AQ21" i="23"/>
  <c r="AQ20" i="23"/>
  <c r="AQ19" i="23"/>
  <c r="AQ18" i="23"/>
  <c r="AQ17" i="23"/>
  <c r="AQ16" i="23"/>
  <c r="AQ15" i="23"/>
  <c r="AQ14" i="23"/>
  <c r="AQ13" i="23"/>
  <c r="AQ12" i="23"/>
  <c r="AQ11" i="23"/>
  <c r="AQ10" i="23"/>
  <c r="AQ9" i="23"/>
  <c r="AQ8" i="23"/>
  <c r="AQ7" i="23"/>
  <c r="AQ6" i="23"/>
  <c r="AQ5" i="23"/>
  <c r="AQ4" i="23"/>
  <c r="AQ3" i="23"/>
  <c r="K88" i="12"/>
  <c r="AP618" i="23" l="1"/>
  <c r="AI618" i="23"/>
  <c r="I618" i="23"/>
  <c r="C226" i="12" l="1"/>
  <c r="F218" i="12"/>
  <c r="R9" i="5"/>
  <c r="H17" i="12" l="1"/>
  <c r="H16" i="12"/>
  <c r="H15" i="12"/>
  <c r="P14" i="5"/>
  <c r="E45" i="1" l="1"/>
  <c r="E32" i="1"/>
  <c r="G66" i="1"/>
  <c r="E58" i="1"/>
  <c r="G68" i="1"/>
  <c r="E14" i="1"/>
  <c r="E19" i="1" s="1"/>
  <c r="E18" i="1"/>
  <c r="D19" i="1"/>
  <c r="D32" i="1"/>
  <c r="D45" i="1"/>
  <c r="D58" i="1"/>
  <c r="H70" i="1" l="1"/>
  <c r="K70" i="1" s="1"/>
  <c r="H69" i="1"/>
  <c r="K69" i="1" s="1"/>
  <c r="H68" i="1"/>
  <c r="K68" i="1" s="1"/>
  <c r="H67" i="1"/>
  <c r="K67" i="1" s="1"/>
  <c r="H66" i="1"/>
  <c r="K66" i="1" s="1"/>
  <c r="H65" i="1"/>
  <c r="K65" i="1" s="1"/>
  <c r="H64" i="1"/>
  <c r="K64" i="1" s="1"/>
  <c r="H63" i="1"/>
  <c r="K63" i="1" s="1"/>
  <c r="H62" i="1"/>
  <c r="K62" i="1" s="1"/>
  <c r="H61" i="1"/>
  <c r="K61" i="1" s="1"/>
  <c r="H60" i="1"/>
  <c r="K60" i="1" s="1"/>
  <c r="H59" i="1"/>
  <c r="K59" i="1" s="1"/>
  <c r="H58" i="1"/>
  <c r="H57" i="1"/>
  <c r="K57" i="1" s="1"/>
  <c r="H56" i="1"/>
  <c r="K56" i="1" s="1"/>
  <c r="H55" i="1"/>
  <c r="K55" i="1" s="1"/>
  <c r="K17" i="1"/>
  <c r="H7" i="1"/>
  <c r="K7" i="1" s="1"/>
  <c r="H20" i="1"/>
  <c r="K20" i="1" s="1"/>
  <c r="H21" i="1"/>
  <c r="K21" i="1" s="1"/>
  <c r="H22" i="1"/>
  <c r="K22" i="1" s="1"/>
  <c r="H23" i="1"/>
  <c r="K23" i="1" s="1"/>
  <c r="H24" i="1"/>
  <c r="K24" i="1" s="1"/>
  <c r="K77" i="1" l="1"/>
  <c r="G75" i="1" s="1"/>
  <c r="N74" i="1"/>
  <c r="N80" i="1" s="1"/>
  <c r="K79" i="1" l="1"/>
  <c r="G67" i="1"/>
  <c r="H9" i="19" l="1"/>
  <c r="F10" i="19"/>
  <c r="F9" i="19"/>
  <c r="F8" i="19"/>
  <c r="D10" i="19"/>
  <c r="D9" i="19"/>
  <c r="D8" i="19"/>
  <c r="I10" i="19"/>
  <c r="H10" i="19" s="1"/>
  <c r="I9" i="19"/>
  <c r="I8" i="19"/>
  <c r="H8" i="19" s="1"/>
  <c r="F216" i="12" l="1"/>
  <c r="F217" i="12"/>
  <c r="AP548" i="23" l="1"/>
  <c r="AP549" i="23"/>
  <c r="AP550" i="23"/>
  <c r="AP551" i="23"/>
  <c r="AP552" i="23"/>
  <c r="AP553" i="23"/>
  <c r="AP554" i="23"/>
  <c r="AP555" i="23"/>
  <c r="AP556" i="23"/>
  <c r="AP557" i="23"/>
  <c r="AP558" i="23"/>
  <c r="AP559" i="23"/>
  <c r="AP560" i="23"/>
  <c r="AP561" i="23"/>
  <c r="AP562" i="23"/>
  <c r="AP563" i="23"/>
  <c r="AP564" i="23"/>
  <c r="AP565" i="23"/>
  <c r="AP566" i="23"/>
  <c r="AP567" i="23"/>
  <c r="AP568" i="23"/>
  <c r="AP569" i="23"/>
  <c r="AP570" i="23"/>
  <c r="AP571" i="23"/>
  <c r="AP572" i="23"/>
  <c r="AP573" i="23"/>
  <c r="AP574" i="23"/>
  <c r="AP575" i="23"/>
  <c r="AP576" i="23"/>
  <c r="AP577" i="23"/>
  <c r="AP578" i="23"/>
  <c r="AP579" i="23"/>
  <c r="AP580" i="23"/>
  <c r="AP581" i="23"/>
  <c r="AP582" i="23"/>
  <c r="AP583" i="23"/>
  <c r="AP584" i="23"/>
  <c r="AP585" i="23"/>
  <c r="AP586" i="23"/>
  <c r="AP587" i="23"/>
  <c r="AP588" i="23"/>
  <c r="AP589" i="23"/>
  <c r="AP590" i="23"/>
  <c r="AP591" i="23"/>
  <c r="AP592" i="23"/>
  <c r="AP593" i="23"/>
  <c r="AP594" i="23"/>
  <c r="AP595" i="23"/>
  <c r="AP596" i="23"/>
  <c r="AP597" i="23"/>
  <c r="AP598" i="23"/>
  <c r="AP599" i="23"/>
  <c r="AP600" i="23"/>
  <c r="AP601" i="23"/>
  <c r="AP602" i="23"/>
  <c r="AP603" i="23"/>
  <c r="AP604" i="23"/>
  <c r="AP605" i="23"/>
  <c r="AP606" i="23"/>
  <c r="AP607" i="23"/>
  <c r="AP608" i="23"/>
  <c r="AP609" i="23"/>
  <c r="AP610" i="23"/>
  <c r="AP611" i="23"/>
  <c r="AP612" i="23"/>
  <c r="AP613" i="23"/>
  <c r="AP614" i="23"/>
  <c r="AP615" i="23"/>
  <c r="AP616" i="23"/>
  <c r="AP617" i="23"/>
  <c r="H45" i="2"/>
  <c r="I42" i="2"/>
  <c r="C45" i="2"/>
  <c r="K90" i="12" l="1"/>
  <c r="K89" i="12"/>
  <c r="K91" i="12"/>
  <c r="O14" i="5" l="1"/>
  <c r="G45" i="2" l="1"/>
  <c r="F45" i="2"/>
  <c r="E45" i="2"/>
  <c r="D45" i="2"/>
  <c r="AP472" i="23"/>
  <c r="AP473" i="23"/>
  <c r="AP474" i="23"/>
  <c r="AP475" i="23"/>
  <c r="AP476" i="23"/>
  <c r="AP477" i="23"/>
  <c r="AP478" i="23"/>
  <c r="AP479" i="23"/>
  <c r="AP480" i="23"/>
  <c r="AP481" i="23"/>
  <c r="AP482" i="23"/>
  <c r="AP483" i="23"/>
  <c r="AP484" i="23"/>
  <c r="AP485" i="23"/>
  <c r="AP486" i="23"/>
  <c r="AP487" i="23"/>
  <c r="AP488" i="23"/>
  <c r="AP489" i="23"/>
  <c r="AP490" i="23"/>
  <c r="AP491" i="23"/>
  <c r="AP492" i="23"/>
  <c r="AP493" i="23"/>
  <c r="AP494" i="23"/>
  <c r="AP495" i="23"/>
  <c r="AP496" i="23"/>
  <c r="AP497" i="23"/>
  <c r="AP498" i="23"/>
  <c r="AP499" i="23"/>
  <c r="AP500" i="23"/>
  <c r="AP501" i="23"/>
  <c r="AP502" i="23"/>
  <c r="AP503" i="23"/>
  <c r="AP504" i="23"/>
  <c r="AP505" i="23"/>
  <c r="AP506" i="23"/>
  <c r="AP507" i="23"/>
  <c r="AP508" i="23"/>
  <c r="AP509" i="23"/>
  <c r="AP510" i="23"/>
  <c r="AP511" i="23"/>
  <c r="AP512" i="23"/>
  <c r="AP513" i="23"/>
  <c r="AP514" i="23"/>
  <c r="AP515" i="23"/>
  <c r="AP516" i="23"/>
  <c r="AP517" i="23"/>
  <c r="AP518" i="23"/>
  <c r="AP519" i="23"/>
  <c r="AP520" i="23"/>
  <c r="AP521" i="23"/>
  <c r="AP522" i="23"/>
  <c r="AP523" i="23"/>
  <c r="AP524" i="23"/>
  <c r="AP525" i="23"/>
  <c r="AP526" i="23"/>
  <c r="AP527" i="23"/>
  <c r="AP528" i="23"/>
  <c r="AP529" i="23"/>
  <c r="AP530" i="23"/>
  <c r="AP531" i="23"/>
  <c r="AP532" i="23"/>
  <c r="AP533" i="23"/>
  <c r="AP534" i="23"/>
  <c r="AP535" i="23"/>
  <c r="AP536" i="23"/>
  <c r="AP537" i="23"/>
  <c r="AP538" i="23"/>
  <c r="AP539" i="23"/>
  <c r="AP540" i="23"/>
  <c r="AP541" i="23"/>
  <c r="AP542" i="23"/>
  <c r="AP543" i="23"/>
  <c r="AP544" i="23"/>
  <c r="AP545" i="23"/>
  <c r="AP546" i="23"/>
  <c r="AP547" i="23"/>
  <c r="AP404" i="23" l="1"/>
  <c r="AP405" i="23"/>
  <c r="AP406" i="23"/>
  <c r="AP407" i="23"/>
  <c r="AP408" i="23"/>
  <c r="AP409" i="23"/>
  <c r="AP410" i="23"/>
  <c r="AP411" i="23"/>
  <c r="AP412" i="23"/>
  <c r="AP413" i="23"/>
  <c r="AP414" i="23"/>
  <c r="AP415" i="23"/>
  <c r="AP416" i="23"/>
  <c r="AP417" i="23"/>
  <c r="AP418" i="23"/>
  <c r="AP419" i="23"/>
  <c r="AP420" i="23"/>
  <c r="AP421" i="23"/>
  <c r="AP422" i="23"/>
  <c r="AP423" i="23"/>
  <c r="AP424" i="23"/>
  <c r="AP425" i="23"/>
  <c r="AP426" i="23"/>
  <c r="AP427" i="23"/>
  <c r="AP428" i="23"/>
  <c r="AP429" i="23"/>
  <c r="AP430" i="23"/>
  <c r="AP431" i="23"/>
  <c r="AP432" i="23"/>
  <c r="AP433" i="23"/>
  <c r="AP434" i="23"/>
  <c r="AP435" i="23"/>
  <c r="AP436" i="23"/>
  <c r="AP437" i="23"/>
  <c r="AP438" i="23"/>
  <c r="AP439" i="23"/>
  <c r="AP440" i="23"/>
  <c r="AP441" i="23"/>
  <c r="AP442" i="23"/>
  <c r="AP443" i="23"/>
  <c r="AP444" i="23"/>
  <c r="AP445" i="23"/>
  <c r="AP446" i="23"/>
  <c r="AP447" i="23"/>
  <c r="AP448" i="23"/>
  <c r="AP449" i="23"/>
  <c r="AP450" i="23"/>
  <c r="AP451" i="23"/>
  <c r="AP452" i="23"/>
  <c r="AP453" i="23"/>
  <c r="AP454" i="23"/>
  <c r="AP455" i="23"/>
  <c r="AP456" i="23"/>
  <c r="AP457" i="23"/>
  <c r="AP458" i="23"/>
  <c r="AP459" i="23"/>
  <c r="AP460" i="23"/>
  <c r="AP461" i="23"/>
  <c r="AP462" i="23"/>
  <c r="AP463" i="23"/>
  <c r="AP464" i="23"/>
  <c r="AP465" i="23"/>
  <c r="AP466" i="23"/>
  <c r="AP467" i="23"/>
  <c r="AP468" i="23"/>
  <c r="AP469" i="23"/>
  <c r="AP470" i="23"/>
  <c r="AP471" i="23"/>
  <c r="AP403" i="23" l="1"/>
  <c r="AP402" i="23"/>
  <c r="AP401" i="23"/>
  <c r="AP400" i="23"/>
  <c r="AP399" i="23"/>
  <c r="AP398" i="23"/>
  <c r="AP397" i="23"/>
  <c r="AP396" i="23"/>
  <c r="AP395" i="23"/>
  <c r="AP394" i="23"/>
  <c r="AP393" i="23"/>
  <c r="AP392" i="23"/>
  <c r="AP391" i="23"/>
  <c r="AP390" i="23"/>
  <c r="AP389" i="23"/>
  <c r="AP388" i="23"/>
  <c r="AP387" i="23"/>
  <c r="AP386" i="23"/>
  <c r="AP385" i="23"/>
  <c r="AP384" i="23"/>
  <c r="AP383" i="23"/>
  <c r="AP382" i="23"/>
  <c r="AP381" i="23"/>
  <c r="AP380" i="23"/>
  <c r="AP379" i="23"/>
  <c r="AP378" i="23"/>
  <c r="AP377" i="23"/>
  <c r="AP376" i="23"/>
  <c r="AP375" i="23"/>
  <c r="AP374" i="23"/>
  <c r="AP373" i="23"/>
  <c r="AP372" i="23"/>
  <c r="AP371" i="23"/>
  <c r="AP370" i="23"/>
  <c r="AP369" i="23"/>
  <c r="AP368" i="23"/>
  <c r="AP367" i="23"/>
  <c r="AP366" i="23"/>
  <c r="AP365" i="23"/>
  <c r="AP364" i="23"/>
  <c r="AP363" i="23"/>
  <c r="AP362" i="23"/>
  <c r="AP361" i="23"/>
  <c r="AP360" i="23"/>
  <c r="AP359" i="23"/>
  <c r="AP358" i="23"/>
  <c r="AP357" i="23"/>
  <c r="AP356" i="23"/>
  <c r="AP355" i="23"/>
  <c r="AP354" i="23"/>
  <c r="AP353" i="23"/>
  <c r="AP352" i="23"/>
  <c r="AP351" i="23"/>
  <c r="AP350" i="23"/>
  <c r="AP349" i="23"/>
  <c r="AP348" i="23"/>
  <c r="AP347" i="23"/>
  <c r="AP346" i="23"/>
  <c r="AP345" i="23"/>
  <c r="AP344" i="23"/>
  <c r="AP343" i="23"/>
  <c r="AP342" i="23"/>
  <c r="AP341" i="23"/>
  <c r="AP340" i="23"/>
  <c r="AP339" i="23"/>
  <c r="AP338" i="23"/>
  <c r="AP337" i="23"/>
  <c r="AP336" i="23"/>
  <c r="AP335" i="23"/>
  <c r="AP334" i="23"/>
  <c r="AP333" i="23"/>
  <c r="AP332" i="23"/>
  <c r="AP331" i="23"/>
  <c r="AP330" i="23"/>
  <c r="AP329" i="23"/>
  <c r="AP328" i="23"/>
  <c r="AP327" i="23"/>
  <c r="AP326" i="23"/>
  <c r="AP325" i="23"/>
  <c r="AP324" i="23"/>
  <c r="AP323" i="23"/>
  <c r="AP322" i="23"/>
  <c r="AP321" i="23"/>
  <c r="AP320" i="23"/>
  <c r="AP319" i="23"/>
  <c r="AP318" i="23"/>
  <c r="AP317" i="23"/>
  <c r="AP316" i="23"/>
  <c r="AP315" i="23"/>
  <c r="AP314" i="23"/>
  <c r="AP313" i="23"/>
  <c r="AP312" i="23"/>
  <c r="AP311" i="23"/>
  <c r="AP310" i="23"/>
  <c r="AP309" i="23"/>
  <c r="AP308" i="23"/>
  <c r="AP307" i="23"/>
  <c r="AP306" i="23"/>
  <c r="AP305" i="23"/>
  <c r="AP304" i="23"/>
  <c r="AP303" i="23"/>
  <c r="AP302" i="23"/>
  <c r="AP301" i="23"/>
  <c r="AP300" i="23"/>
  <c r="AP299" i="23"/>
  <c r="AP298" i="23"/>
  <c r="AP297" i="23"/>
  <c r="AP296" i="23"/>
  <c r="AP295" i="23"/>
  <c r="AP294" i="23"/>
  <c r="AP293" i="23"/>
  <c r="AP292" i="23"/>
  <c r="AP291" i="23"/>
  <c r="AP290" i="23"/>
  <c r="AP289" i="23"/>
  <c r="AP288" i="23"/>
  <c r="AP287" i="23"/>
  <c r="AP286" i="23"/>
  <c r="AP285" i="23"/>
  <c r="AP284" i="23"/>
  <c r="AP283" i="23"/>
  <c r="AP282" i="23"/>
  <c r="AP281" i="23"/>
  <c r="AP280" i="23"/>
  <c r="AP279" i="23"/>
  <c r="AP278" i="23"/>
  <c r="AP277" i="23"/>
  <c r="AP276" i="23"/>
  <c r="AP275" i="23"/>
  <c r="AP274" i="23"/>
  <c r="AP273" i="23"/>
  <c r="AP272" i="23"/>
  <c r="AP271" i="23"/>
  <c r="AP270" i="23"/>
  <c r="AP269" i="23"/>
  <c r="I269" i="23"/>
  <c r="AP268" i="23"/>
  <c r="AP267" i="23"/>
  <c r="AP266" i="23"/>
  <c r="AP265" i="23"/>
  <c r="AP264" i="23"/>
  <c r="AP263" i="23"/>
  <c r="AP262" i="23"/>
  <c r="AP261" i="23"/>
  <c r="AP260" i="23"/>
  <c r="AP259" i="23"/>
  <c r="AP258" i="23"/>
  <c r="AP257" i="23"/>
  <c r="AP256" i="23"/>
  <c r="AP255" i="23"/>
  <c r="AP254" i="23"/>
  <c r="AP253" i="23"/>
  <c r="AP252" i="23"/>
  <c r="AP251" i="23"/>
  <c r="AP250" i="23"/>
  <c r="AP249" i="23"/>
  <c r="AP248" i="23"/>
  <c r="AP247" i="23"/>
  <c r="AP246" i="23"/>
  <c r="AP245" i="23"/>
  <c r="AP244" i="23"/>
  <c r="AP243" i="23"/>
  <c r="AP242" i="23"/>
  <c r="AP241" i="23"/>
  <c r="AP240" i="23"/>
  <c r="AP239" i="23"/>
  <c r="AP238" i="23"/>
  <c r="AP237" i="23"/>
  <c r="AP236" i="23"/>
  <c r="AP235" i="23"/>
  <c r="AP234" i="23"/>
  <c r="AP233" i="23"/>
  <c r="AP232" i="23"/>
  <c r="AP231" i="23"/>
  <c r="AP230" i="23"/>
  <c r="AP229" i="23"/>
  <c r="AP228" i="23"/>
  <c r="AP227" i="23"/>
  <c r="AP226" i="23"/>
  <c r="AP225" i="23"/>
  <c r="AP224" i="23"/>
  <c r="AP223" i="23"/>
  <c r="AP222" i="23"/>
  <c r="AP221" i="23"/>
  <c r="AP220" i="23"/>
  <c r="AP219" i="23"/>
  <c r="AP218" i="23"/>
  <c r="AP217" i="23"/>
  <c r="AP216" i="23"/>
  <c r="AP215" i="23"/>
  <c r="AP214" i="23"/>
  <c r="AP213" i="23"/>
  <c r="AP212" i="23"/>
  <c r="AP211" i="23"/>
  <c r="AP210" i="23"/>
  <c r="AI210" i="23"/>
  <c r="I210" i="23"/>
  <c r="AP209" i="23"/>
  <c r="AI209" i="23"/>
  <c r="I209" i="23"/>
  <c r="AP208" i="23"/>
  <c r="AI208" i="23"/>
  <c r="I208" i="23"/>
  <c r="AP207" i="23"/>
  <c r="AI207" i="23"/>
  <c r="I207" i="23"/>
  <c r="AP206" i="23"/>
  <c r="AI206" i="23"/>
  <c r="I206" i="23"/>
  <c r="AP205" i="23"/>
  <c r="AI205" i="23"/>
  <c r="I205" i="23"/>
  <c r="AP204" i="23"/>
  <c r="AI204" i="23"/>
  <c r="I204" i="23"/>
  <c r="AP203" i="23"/>
  <c r="AI203" i="23"/>
  <c r="I203" i="23"/>
  <c r="AP202" i="23"/>
  <c r="AI202" i="23"/>
  <c r="I202" i="23"/>
  <c r="AP201" i="23"/>
  <c r="AI201" i="23"/>
  <c r="I201" i="23"/>
  <c r="AP200" i="23"/>
  <c r="AI200" i="23"/>
  <c r="I200" i="23"/>
  <c r="AP199" i="23"/>
  <c r="AI199" i="23"/>
  <c r="I199" i="23"/>
  <c r="AP198" i="23"/>
  <c r="AI198" i="23"/>
  <c r="I198" i="23"/>
  <c r="AP197" i="23"/>
  <c r="AI197" i="23"/>
  <c r="I197" i="23"/>
  <c r="AP196" i="23"/>
  <c r="AI196" i="23"/>
  <c r="I196" i="23"/>
  <c r="AP195" i="23"/>
  <c r="AI195" i="23"/>
  <c r="I195" i="23"/>
  <c r="AP194" i="23"/>
  <c r="AI194" i="23"/>
  <c r="I194" i="23"/>
  <c r="AP193" i="23"/>
  <c r="AI193" i="23"/>
  <c r="I193" i="23"/>
  <c r="AP192" i="23"/>
  <c r="AI192" i="23"/>
  <c r="I192" i="23"/>
  <c r="AP191" i="23"/>
  <c r="AP190" i="23"/>
  <c r="AP189" i="23"/>
  <c r="AP188" i="23"/>
  <c r="AP187" i="23"/>
  <c r="AP186" i="23"/>
  <c r="AP185" i="23"/>
  <c r="AP184" i="23"/>
  <c r="AP183" i="23"/>
  <c r="AP182" i="23"/>
  <c r="AP181" i="23"/>
  <c r="AP180" i="23"/>
  <c r="AP179" i="23"/>
  <c r="AP178" i="23"/>
  <c r="AP177" i="23"/>
  <c r="AP176" i="23"/>
  <c r="AP175" i="23"/>
  <c r="AP174" i="23"/>
  <c r="AP173" i="23"/>
  <c r="AP172" i="23"/>
  <c r="AP171" i="23"/>
  <c r="AP170" i="23"/>
  <c r="AP169" i="23"/>
  <c r="AP168" i="23"/>
  <c r="AP167" i="23"/>
  <c r="AP166" i="23"/>
  <c r="AP165" i="23"/>
  <c r="AP164" i="23"/>
  <c r="AP163" i="23"/>
  <c r="AP162" i="23"/>
  <c r="AP161" i="23"/>
  <c r="AP160" i="23"/>
  <c r="AP159" i="23"/>
  <c r="AP158" i="23"/>
  <c r="AP157" i="23"/>
  <c r="AP156" i="23"/>
  <c r="AP155" i="23"/>
  <c r="AP154" i="23"/>
  <c r="AP153" i="23"/>
  <c r="AP152" i="23"/>
  <c r="AP151" i="23"/>
  <c r="AP150" i="23"/>
  <c r="AP149" i="23"/>
  <c r="AP148" i="23"/>
  <c r="AP147" i="23"/>
  <c r="AP146" i="23"/>
  <c r="AP145" i="23"/>
  <c r="AP144" i="23"/>
  <c r="AP143" i="23"/>
  <c r="AP142" i="23"/>
  <c r="AP141" i="23"/>
  <c r="AP140" i="23"/>
  <c r="AP139" i="23"/>
  <c r="AP138" i="23"/>
  <c r="AP137" i="23"/>
  <c r="AP136" i="23"/>
  <c r="AP135" i="23"/>
  <c r="AP134" i="23"/>
  <c r="AP133" i="23"/>
  <c r="AP132" i="23"/>
  <c r="AP131" i="23"/>
  <c r="AP130" i="23"/>
  <c r="AP129" i="23"/>
  <c r="AP128" i="23"/>
  <c r="AP127" i="23"/>
  <c r="AP126" i="23"/>
  <c r="AP125" i="23"/>
  <c r="AP124" i="23"/>
  <c r="AP123" i="23"/>
  <c r="AP122" i="23"/>
  <c r="AP121" i="23"/>
  <c r="AP120" i="23"/>
  <c r="AP119" i="23"/>
  <c r="AP118" i="23"/>
  <c r="AP117" i="23"/>
  <c r="AP116" i="23"/>
  <c r="AP115" i="23"/>
  <c r="AP114" i="23"/>
  <c r="AP113" i="23"/>
  <c r="AP112" i="23"/>
  <c r="AP111" i="23"/>
  <c r="AP110" i="23"/>
  <c r="AP109" i="23"/>
  <c r="AP108" i="23"/>
  <c r="AP107" i="23"/>
  <c r="AP106" i="23"/>
  <c r="AP105" i="23"/>
  <c r="AP104" i="23"/>
  <c r="AP103" i="23"/>
  <c r="AP102" i="23"/>
  <c r="AP101" i="23"/>
  <c r="AP100" i="23"/>
  <c r="AP99" i="23"/>
  <c r="AP98" i="23"/>
  <c r="AP97" i="23"/>
  <c r="AP96" i="23"/>
  <c r="AP95" i="23"/>
  <c r="AP94" i="23"/>
  <c r="AP93" i="23"/>
  <c r="AP92" i="23"/>
  <c r="AP91" i="23"/>
  <c r="AP90" i="23"/>
  <c r="AP89" i="23"/>
  <c r="AP88" i="23"/>
  <c r="AP87" i="23"/>
  <c r="AP86" i="23"/>
  <c r="AP85" i="23"/>
  <c r="AP84" i="23"/>
  <c r="AP83" i="23"/>
  <c r="AP82" i="23"/>
  <c r="AP81" i="23"/>
  <c r="AP80" i="23"/>
  <c r="AP79" i="23"/>
  <c r="AP78" i="23"/>
  <c r="AP77" i="23"/>
  <c r="AP76" i="23"/>
  <c r="AP75" i="23"/>
  <c r="AP74" i="23"/>
  <c r="AP73" i="23"/>
  <c r="AP72" i="23"/>
  <c r="AP71" i="23"/>
  <c r="AP70" i="23"/>
  <c r="AP69" i="23"/>
  <c r="AP68" i="23"/>
  <c r="AP67" i="23"/>
  <c r="AP66" i="23"/>
  <c r="AP65" i="23"/>
  <c r="AP64" i="23"/>
  <c r="AP63" i="23"/>
  <c r="AP62" i="23"/>
  <c r="AP61" i="23"/>
  <c r="AP60" i="23"/>
  <c r="AP59" i="23"/>
  <c r="AP58" i="23"/>
  <c r="AP57" i="23"/>
  <c r="AP56" i="23"/>
  <c r="AP55" i="23"/>
  <c r="AP54" i="23"/>
  <c r="AP53" i="23"/>
  <c r="AP52" i="23"/>
  <c r="AP51" i="23"/>
  <c r="AP50" i="23"/>
  <c r="AP49" i="23"/>
  <c r="AP48" i="23"/>
  <c r="AP47" i="23"/>
  <c r="AP46" i="23"/>
  <c r="AP45" i="23"/>
  <c r="AP44" i="23"/>
  <c r="AP43" i="23"/>
  <c r="AP42" i="23"/>
  <c r="AP41" i="23"/>
  <c r="AP40" i="23"/>
  <c r="AP39" i="23"/>
  <c r="AP38" i="23"/>
  <c r="AP37" i="23"/>
  <c r="AP36" i="23"/>
  <c r="AP35" i="23"/>
  <c r="AP34" i="23"/>
  <c r="AP33" i="23"/>
  <c r="AP32" i="23"/>
  <c r="AP31" i="23"/>
  <c r="AP30" i="23"/>
  <c r="AP29" i="23"/>
  <c r="AP28" i="23"/>
  <c r="AP27" i="23"/>
  <c r="AP26" i="23"/>
  <c r="AP25" i="23"/>
  <c r="AP24" i="23"/>
  <c r="AP23" i="23"/>
  <c r="AP22" i="23"/>
  <c r="AP21" i="23"/>
  <c r="AP20" i="23"/>
  <c r="AP19" i="23"/>
  <c r="AP18" i="23"/>
  <c r="AP17" i="23"/>
  <c r="AP16" i="23"/>
  <c r="AP15" i="23"/>
  <c r="AP14" i="23"/>
  <c r="AP13" i="23"/>
  <c r="AP12" i="23"/>
  <c r="AP11" i="23"/>
  <c r="AP10" i="23"/>
  <c r="AP9" i="23"/>
  <c r="AP8" i="23"/>
  <c r="AP7" i="23"/>
  <c r="AP6" i="23"/>
  <c r="AP5" i="23"/>
  <c r="AP4" i="23"/>
  <c r="AP3" i="23"/>
  <c r="AQ2" i="23"/>
  <c r="AP2" i="23"/>
  <c r="B5" i="12" l="1"/>
  <c r="N14" i="5" l="1"/>
  <c r="E71" i="1"/>
  <c r="E227" i="12" l="1"/>
  <c r="M25" i="5" l="1"/>
  <c r="H51" i="1" l="1"/>
  <c r="K51" i="1" s="1"/>
  <c r="G10" i="1" l="1"/>
  <c r="G11" i="1"/>
  <c r="G12" i="1"/>
  <c r="G13" i="1"/>
  <c r="I213" i="12" l="1"/>
  <c r="I214" i="12"/>
  <c r="I215" i="12"/>
  <c r="F213" i="12"/>
  <c r="F214" i="12"/>
  <c r="F215" i="12"/>
  <c r="F212" i="12"/>
  <c r="B152" i="12"/>
  <c r="F62" i="12" l="1"/>
  <c r="I40" i="2"/>
  <c r="I212" i="12" l="1"/>
  <c r="J14" i="5" l="1"/>
  <c r="E29" i="12" l="1"/>
  <c r="E235" i="22" l="1"/>
  <c r="E234" i="22"/>
  <c r="I227" i="22"/>
  <c r="F227" i="22"/>
  <c r="I226" i="22"/>
  <c r="F226" i="22"/>
  <c r="I225" i="22"/>
  <c r="F225" i="22"/>
  <c r="I224" i="22"/>
  <c r="F224" i="22"/>
  <c r="I223" i="22"/>
  <c r="F223" i="22"/>
  <c r="I222" i="22"/>
  <c r="F222" i="22"/>
  <c r="I221" i="22"/>
  <c r="F221" i="22"/>
  <c r="I220" i="22"/>
  <c r="F220" i="22"/>
  <c r="I219" i="22"/>
  <c r="F219" i="22"/>
  <c r="I218" i="22"/>
  <c r="F218" i="22"/>
  <c r="I217" i="22"/>
  <c r="F217" i="22"/>
  <c r="B156" i="22"/>
  <c r="K92" i="22"/>
  <c r="M90" i="22"/>
  <c r="M86" i="22"/>
  <c r="M85" i="22"/>
  <c r="M84" i="22"/>
  <c r="M83" i="22"/>
  <c r="M82" i="22"/>
  <c r="M81" i="22"/>
  <c r="D65" i="22"/>
  <c r="F61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D24" i="22"/>
  <c r="B24" i="22"/>
  <c r="D11" i="22"/>
  <c r="D10" i="22"/>
  <c r="D9" i="22"/>
  <c r="D8" i="22"/>
  <c r="D7" i="22"/>
  <c r="D6" i="22"/>
  <c r="D12" i="22" s="1"/>
  <c r="B5" i="22"/>
  <c r="H6" i="22" l="1"/>
  <c r="D64" i="22"/>
  <c r="D92" i="22" s="1"/>
  <c r="I44" i="2" l="1"/>
  <c r="I43" i="2"/>
  <c r="I41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45" i="2" l="1"/>
  <c r="H14" i="5"/>
  <c r="G70" i="1"/>
  <c r="G69" i="1"/>
  <c r="G65" i="1"/>
  <c r="G64" i="1"/>
  <c r="G63" i="1"/>
  <c r="G62" i="1"/>
  <c r="G61" i="1"/>
  <c r="G60" i="1"/>
  <c r="G59" i="1" l="1"/>
  <c r="F71" i="1" l="1"/>
  <c r="D71" i="1"/>
  <c r="G71" i="1"/>
  <c r="Q13" i="5" s="1"/>
  <c r="B13" i="5" l="1"/>
  <c r="G15" i="19"/>
  <c r="G13" i="5"/>
  <c r="C15" i="19"/>
  <c r="E15" i="19"/>
  <c r="C13" i="5"/>
  <c r="H220" i="12" s="1"/>
  <c r="D15" i="19" l="1"/>
  <c r="H223" i="12"/>
  <c r="H222" i="12"/>
  <c r="H221" i="12"/>
  <c r="F227" i="12"/>
  <c r="F15" i="19"/>
  <c r="I217" i="12"/>
  <c r="I216" i="12"/>
  <c r="H216" i="22"/>
  <c r="F235" i="22" s="1"/>
  <c r="I15" i="19"/>
  <c r="H15" i="19" s="1"/>
  <c r="E216" i="22"/>
  <c r="D13" i="5"/>
  <c r="E13" i="5"/>
  <c r="F13" i="5" s="1"/>
  <c r="I216" i="22" l="1"/>
  <c r="G235" i="22" s="1"/>
  <c r="F216" i="22"/>
  <c r="G234" i="22" s="1"/>
  <c r="F234" i="22"/>
  <c r="G48" i="1"/>
  <c r="G49" i="1"/>
  <c r="G50" i="1"/>
  <c r="G51" i="1"/>
  <c r="G52" i="1"/>
  <c r="G53" i="1"/>
  <c r="G54" i="1"/>
  <c r="G55" i="1"/>
  <c r="G56" i="1"/>
  <c r="G57" i="1"/>
  <c r="E3" i="21" l="1"/>
  <c r="M6" i="21" l="1"/>
  <c r="M5" i="21"/>
  <c r="M4" i="21"/>
  <c r="M3" i="21"/>
  <c r="M10" i="21"/>
  <c r="M9" i="21"/>
  <c r="M8" i="21"/>
  <c r="M7" i="21"/>
  <c r="C3" i="21" l="1"/>
  <c r="E9" i="21"/>
  <c r="E8" i="21"/>
  <c r="E7" i="21"/>
  <c r="E6" i="21"/>
  <c r="E5" i="21"/>
  <c r="E4" i="21"/>
  <c r="E10" i="21"/>
  <c r="C10" i="21"/>
  <c r="C9" i="21"/>
  <c r="C8" i="21"/>
  <c r="C7" i="21"/>
  <c r="C6" i="21"/>
  <c r="C5" i="21"/>
  <c r="C4" i="21"/>
  <c r="N14" i="20" l="1"/>
  <c r="M14" i="20"/>
  <c r="L14" i="20"/>
  <c r="K14" i="20"/>
  <c r="J14" i="20"/>
  <c r="H14" i="20"/>
  <c r="K85" i="22" s="1"/>
  <c r="G14" i="20"/>
  <c r="K84" i="22" s="1"/>
  <c r="F14" i="20"/>
  <c r="K83" i="22" s="1"/>
  <c r="E14" i="20"/>
  <c r="K82" i="22" s="1"/>
  <c r="C14" i="20"/>
  <c r="D14" i="20"/>
  <c r="K81" i="22" s="1"/>
  <c r="I14" i="20" l="1"/>
  <c r="K86" i="22" s="1"/>
  <c r="I218" i="12" l="1"/>
  <c r="I219" i="12"/>
  <c r="I220" i="12"/>
  <c r="I221" i="12"/>
  <c r="I222" i="12"/>
  <c r="I223" i="12"/>
  <c r="G227" i="12" l="1"/>
  <c r="E58" i="12" l="1"/>
  <c r="E5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D24" i="12" l="1"/>
  <c r="D66" i="12" s="1"/>
  <c r="B24" i="12"/>
  <c r="D11" i="12"/>
  <c r="D10" i="12"/>
  <c r="D9" i="12"/>
  <c r="D8" i="12"/>
  <c r="D7" i="12"/>
  <c r="D6" i="12"/>
  <c r="F58" i="1"/>
  <c r="G14" i="19" s="1"/>
  <c r="B12" i="5"/>
  <c r="G47" i="1"/>
  <c r="G46" i="1"/>
  <c r="F45" i="1"/>
  <c r="G13" i="19" s="1"/>
  <c r="B11" i="5"/>
  <c r="G44" i="1"/>
  <c r="G43" i="1"/>
  <c r="G42" i="1"/>
  <c r="G41" i="1"/>
  <c r="G40" i="1"/>
  <c r="G39" i="1"/>
  <c r="G38" i="1"/>
  <c r="G37" i="1"/>
  <c r="G36" i="1"/>
  <c r="G35" i="1"/>
  <c r="G34" i="1"/>
  <c r="G33" i="1"/>
  <c r="F32" i="1"/>
  <c r="G12" i="19" s="1"/>
  <c r="C12" i="19"/>
  <c r="G30" i="1"/>
  <c r="G29" i="1"/>
  <c r="G28" i="1"/>
  <c r="G27" i="1"/>
  <c r="G26" i="1"/>
  <c r="G24" i="1"/>
  <c r="G23" i="1"/>
  <c r="G22" i="1"/>
  <c r="G21" i="1"/>
  <c r="G9" i="1"/>
  <c r="G8" i="1"/>
  <c r="F7" i="1"/>
  <c r="F19" i="1" s="1"/>
  <c r="K45" i="1" l="1"/>
  <c r="K58" i="1"/>
  <c r="F12" i="19"/>
  <c r="D12" i="12"/>
  <c r="H14" i="12" s="1"/>
  <c r="D72" i="1"/>
  <c r="C11" i="5"/>
  <c r="D11" i="5" s="1"/>
  <c r="E14" i="19"/>
  <c r="G58" i="1"/>
  <c r="Q12" i="5" s="1"/>
  <c r="F72" i="1"/>
  <c r="C11" i="19"/>
  <c r="C14" i="19"/>
  <c r="F14" i="19" s="1"/>
  <c r="C13" i="19"/>
  <c r="F13" i="19" s="1"/>
  <c r="C12" i="5"/>
  <c r="E13" i="19"/>
  <c r="B10" i="5"/>
  <c r="G12" i="5"/>
  <c r="G11" i="19"/>
  <c r="G9" i="5"/>
  <c r="G7" i="1"/>
  <c r="G19" i="1" s="1"/>
  <c r="G10" i="5"/>
  <c r="G45" i="1"/>
  <c r="Q11" i="5" s="1"/>
  <c r="G31" i="1"/>
  <c r="G32" i="1" s="1"/>
  <c r="G11" i="5"/>
  <c r="B9" i="5"/>
  <c r="E11" i="19"/>
  <c r="B59" i="22" l="1"/>
  <c r="D59" i="22" s="1"/>
  <c r="D183" i="12"/>
  <c r="D50" i="12"/>
  <c r="D48" i="12"/>
  <c r="D45" i="12"/>
  <c r="D61" i="12"/>
  <c r="D59" i="12"/>
  <c r="D60" i="12"/>
  <c r="D47" i="12"/>
  <c r="D53" i="12"/>
  <c r="D51" i="12"/>
  <c r="D31" i="12"/>
  <c r="D49" i="12"/>
  <c r="D56" i="12"/>
  <c r="D36" i="12"/>
  <c r="Q9" i="5"/>
  <c r="G72" i="1"/>
  <c r="G74" i="1" s="1"/>
  <c r="G78" i="1" s="1"/>
  <c r="K32" i="1"/>
  <c r="K19" i="1"/>
  <c r="C9" i="5"/>
  <c r="D9" i="5" s="1"/>
  <c r="B44" i="22"/>
  <c r="D44" i="22" s="1"/>
  <c r="B52" i="22"/>
  <c r="D52" i="22" s="1"/>
  <c r="D13" i="19"/>
  <c r="P91" i="12"/>
  <c r="P89" i="12"/>
  <c r="P88" i="12"/>
  <c r="E152" i="12" s="1"/>
  <c r="D17" i="17" s="1"/>
  <c r="P90" i="12"/>
  <c r="N91" i="12"/>
  <c r="N90" i="12"/>
  <c r="N89" i="12"/>
  <c r="N88" i="12"/>
  <c r="F152" i="12" s="1"/>
  <c r="F153" i="12" s="1"/>
  <c r="B55" i="22"/>
  <c r="D55" i="22" s="1"/>
  <c r="D11" i="19"/>
  <c r="C16" i="19"/>
  <c r="I11" i="19"/>
  <c r="H11" i="19" s="1"/>
  <c r="D14" i="19"/>
  <c r="D57" i="12"/>
  <c r="G16" i="19"/>
  <c r="F11" i="19"/>
  <c r="B60" i="22"/>
  <c r="D60" i="22" s="1"/>
  <c r="B32" i="22"/>
  <c r="D32" i="22" s="1"/>
  <c r="E186" i="22" s="1"/>
  <c r="B48" i="22"/>
  <c r="D48" i="22" s="1"/>
  <c r="B47" i="22"/>
  <c r="D47" i="22" s="1"/>
  <c r="B53" i="22"/>
  <c r="D53" i="22" s="1"/>
  <c r="B43" i="22"/>
  <c r="D190" i="22" s="1"/>
  <c r="N92" i="22"/>
  <c r="F156" i="22" s="1"/>
  <c r="B40" i="22"/>
  <c r="D40" i="22" s="1"/>
  <c r="D41" i="12"/>
  <c r="B39" i="22"/>
  <c r="D189" i="22" s="1"/>
  <c r="B45" i="22"/>
  <c r="D45" i="22" s="1"/>
  <c r="B35" i="22"/>
  <c r="D35" i="22" s="1"/>
  <c r="D55" i="12"/>
  <c r="D40" i="12"/>
  <c r="D185" i="12"/>
  <c r="B54" i="22"/>
  <c r="D54" i="22" s="1"/>
  <c r="B36" i="22"/>
  <c r="D36" i="22" s="1"/>
  <c r="B50" i="22"/>
  <c r="D50" i="22" s="1"/>
  <c r="D58" i="12"/>
  <c r="D46" i="12"/>
  <c r="B57" i="22"/>
  <c r="D57" i="22" s="1"/>
  <c r="D35" i="12"/>
  <c r="D52" i="12"/>
  <c r="B34" i="22"/>
  <c r="D34" i="22" s="1"/>
  <c r="E187" i="22" s="1"/>
  <c r="B49" i="22"/>
  <c r="D49" i="22" s="1"/>
  <c r="B51" i="22"/>
  <c r="D51" i="22" s="1"/>
  <c r="B37" i="22"/>
  <c r="D37" i="22" s="1"/>
  <c r="B56" i="22"/>
  <c r="D56" i="22" s="1"/>
  <c r="B33" i="22"/>
  <c r="D33" i="22" s="1"/>
  <c r="E185" i="22" s="1"/>
  <c r="D37" i="12"/>
  <c r="D43" i="12"/>
  <c r="E186" i="12" s="1"/>
  <c r="Q10" i="5"/>
  <c r="B31" i="22"/>
  <c r="D31" i="22" s="1"/>
  <c r="B41" i="22"/>
  <c r="D41" i="22" s="1"/>
  <c r="B29" i="22"/>
  <c r="D29" i="22" s="1"/>
  <c r="B46" i="22"/>
  <c r="D46" i="22" s="1"/>
  <c r="D44" i="12"/>
  <c r="B42" i="22"/>
  <c r="D42" i="22" s="1"/>
  <c r="B58" i="22"/>
  <c r="D58" i="22" s="1"/>
  <c r="B38" i="22"/>
  <c r="D188" i="22" s="1"/>
  <c r="B30" i="22"/>
  <c r="D30" i="22" s="1"/>
  <c r="E184" i="22" s="1"/>
  <c r="E9" i="5"/>
  <c r="E11" i="5"/>
  <c r="F11" i="5" s="1"/>
  <c r="C10" i="5"/>
  <c r="D42" i="12"/>
  <c r="D54" i="12"/>
  <c r="P92" i="22"/>
  <c r="E156" i="22" s="1"/>
  <c r="B14" i="5"/>
  <c r="D156" i="22"/>
  <c r="G14" i="5"/>
  <c r="E72" i="1"/>
  <c r="E12" i="19"/>
  <c r="D65" i="12"/>
  <c r="D88" i="12" s="1"/>
  <c r="I13" i="19"/>
  <c r="H13" i="19" s="1"/>
  <c r="I14" i="19"/>
  <c r="H14" i="19" s="1"/>
  <c r="E12" i="5"/>
  <c r="F12" i="5" s="1"/>
  <c r="D12" i="5"/>
  <c r="H35" i="1"/>
  <c r="K35" i="1" s="1"/>
  <c r="H25" i="1"/>
  <c r="K25" i="1" s="1"/>
  <c r="H49" i="1"/>
  <c r="K49" i="1" s="1"/>
  <c r="H33" i="1"/>
  <c r="K33" i="1" s="1"/>
  <c r="H10" i="1"/>
  <c r="K10" i="1" s="1"/>
  <c r="H40" i="1"/>
  <c r="K40" i="1" s="1"/>
  <c r="H30" i="1"/>
  <c r="K30" i="1" s="1"/>
  <c r="H8" i="1"/>
  <c r="K8" i="1" s="1"/>
  <c r="H50" i="1"/>
  <c r="K50" i="1" s="1"/>
  <c r="H13" i="1"/>
  <c r="K13" i="1" s="1"/>
  <c r="H54" i="1"/>
  <c r="K54" i="1" s="1"/>
  <c r="H18" i="1"/>
  <c r="K18" i="1" s="1"/>
  <c r="H42" i="1"/>
  <c r="K42" i="1" s="1"/>
  <c r="H34" i="1"/>
  <c r="K34" i="1" s="1"/>
  <c r="H44" i="1"/>
  <c r="K44" i="1" s="1"/>
  <c r="H39" i="1"/>
  <c r="K39" i="1" s="1"/>
  <c r="H29" i="1"/>
  <c r="K29" i="1" s="1"/>
  <c r="H28" i="1"/>
  <c r="K28" i="1" s="1"/>
  <c r="H12" i="1"/>
  <c r="K12" i="1" s="1"/>
  <c r="H27" i="1"/>
  <c r="K27" i="1" s="1"/>
  <c r="H38" i="1"/>
  <c r="K38" i="1" s="1"/>
  <c r="H53" i="1"/>
  <c r="K53" i="1" s="1"/>
  <c r="H48" i="1"/>
  <c r="K48" i="1" s="1"/>
  <c r="H43" i="1"/>
  <c r="K43" i="1" s="1"/>
  <c r="H11" i="1"/>
  <c r="K11" i="1" s="1"/>
  <c r="H52" i="1"/>
  <c r="K52" i="1" s="1"/>
  <c r="H16" i="1"/>
  <c r="K16" i="1" s="1"/>
  <c r="H36" i="1"/>
  <c r="K36" i="1" s="1"/>
  <c r="H31" i="1"/>
  <c r="K31" i="1" s="1"/>
  <c r="H26" i="1"/>
  <c r="K26" i="1" s="1"/>
  <c r="H15" i="1"/>
  <c r="K15" i="1" s="1"/>
  <c r="H46" i="1"/>
  <c r="K46" i="1" s="1"/>
  <c r="H41" i="1"/>
  <c r="K41" i="1" s="1"/>
  <c r="H9" i="1"/>
  <c r="K9" i="1" s="1"/>
  <c r="H47" i="1"/>
  <c r="K47" i="1" s="1"/>
  <c r="H14" i="1"/>
  <c r="K14" i="1" s="1"/>
  <c r="H37" i="1"/>
  <c r="K37" i="1" s="1"/>
  <c r="D33" i="12" l="1"/>
  <c r="E181" i="12" s="1"/>
  <c r="U9" i="5"/>
  <c r="U14" i="5" s="1"/>
  <c r="C14" i="5"/>
  <c r="O91" i="12" s="1"/>
  <c r="D186" i="22"/>
  <c r="D43" i="22"/>
  <c r="E190" i="22" s="1"/>
  <c r="F16" i="19"/>
  <c r="I12" i="19"/>
  <c r="H12" i="19" s="1"/>
  <c r="D12" i="19"/>
  <c r="E16" i="19"/>
  <c r="D16" i="19" s="1"/>
  <c r="D91" i="12"/>
  <c r="D90" i="12"/>
  <c r="D89" i="12"/>
  <c r="Q14" i="5"/>
  <c r="D39" i="22"/>
  <c r="E189" i="22" s="1"/>
  <c r="D187" i="22"/>
  <c r="D12" i="17"/>
  <c r="D185" i="22"/>
  <c r="D38" i="22"/>
  <c r="E188" i="22" s="1"/>
  <c r="D183" i="22"/>
  <c r="B61" i="22"/>
  <c r="D184" i="22"/>
  <c r="E10" i="5"/>
  <c r="F10" i="5" s="1"/>
  <c r="D10" i="5"/>
  <c r="D14" i="5" s="1"/>
  <c r="B62" i="12"/>
  <c r="G62" i="12" s="1"/>
  <c r="E183" i="22"/>
  <c r="H72" i="1"/>
  <c r="F9" i="5"/>
  <c r="D181" i="12"/>
  <c r="D34" i="12"/>
  <c r="E183" i="12" s="1"/>
  <c r="D39" i="12"/>
  <c r="E185" i="12" s="1"/>
  <c r="D186" i="12"/>
  <c r="D182" i="12"/>
  <c r="D32" i="12"/>
  <c r="E182" i="12" s="1"/>
  <c r="D179" i="12"/>
  <c r="D29" i="12"/>
  <c r="D180" i="12"/>
  <c r="D30" i="12"/>
  <c r="E180" i="12" s="1"/>
  <c r="D38" i="12"/>
  <c r="E184" i="12" s="1"/>
  <c r="D184" i="12"/>
  <c r="J24" i="5"/>
  <c r="J22" i="5"/>
  <c r="O90" i="12" l="1"/>
  <c r="O88" i="12"/>
  <c r="C152" i="12" s="1"/>
  <c r="D15" i="17" s="1"/>
  <c r="O92" i="22"/>
  <c r="C156" i="22" s="1"/>
  <c r="O89" i="12"/>
  <c r="I16" i="19"/>
  <c r="H16" i="19" s="1"/>
  <c r="D61" i="22"/>
  <c r="E191" i="22"/>
  <c r="D191" i="22"/>
  <c r="E14" i="5"/>
  <c r="F14" i="5"/>
  <c r="D62" i="12"/>
  <c r="D187" i="12"/>
  <c r="E179" i="12"/>
  <c r="E187" i="12" s="1"/>
  <c r="M70" i="17" s="1"/>
  <c r="D67" i="12" l="1"/>
  <c r="F88" i="12" s="1"/>
  <c r="G88" i="12" s="1"/>
  <c r="D68" i="12"/>
  <c r="D66" i="22"/>
  <c r="F92" i="22" s="1"/>
  <c r="G92" i="22" s="1"/>
  <c r="D67" i="22"/>
  <c r="M67" i="17"/>
  <c r="F91" i="12" l="1"/>
  <c r="G91" i="12" s="1"/>
  <c r="F89" i="12"/>
  <c r="G89" i="12" s="1"/>
  <c r="F90" i="12"/>
  <c r="G90" i="12" s="1"/>
  <c r="N70" i="17"/>
  <c r="J23" i="5" l="1"/>
  <c r="F187" i="12" l="1"/>
  <c r="L91" i="12"/>
  <c r="L90" i="12"/>
  <c r="L89" i="12"/>
  <c r="L88" i="12"/>
  <c r="F191" i="22"/>
  <c r="J25" i="5"/>
  <c r="L92" i="22"/>
  <c r="N67" i="17"/>
  <c r="E220" i="12" l="1"/>
  <c r="D152" i="12"/>
  <c r="C149" i="12" s="1"/>
  <c r="C153" i="12" s="1"/>
  <c r="E223" i="12"/>
  <c r="F223" i="12" s="1"/>
  <c r="E222" i="12"/>
  <c r="F222" i="12" s="1"/>
  <c r="E221" i="12"/>
  <c r="F221" i="12" s="1"/>
  <c r="F220" i="12"/>
  <c r="D21" i="17" l="1"/>
  <c r="F226" i="12"/>
  <c r="G226" i="12"/>
  <c r="E153" i="12"/>
  <c r="D153" i="12"/>
  <c r="I3" i="12"/>
  <c r="I3" i="22" l="1"/>
  <c r="I14" i="12"/>
  <c r="D69" i="12"/>
  <c r="H88" i="12" s="1"/>
  <c r="I17" i="12"/>
  <c r="I15" i="12"/>
  <c r="I16" i="12"/>
  <c r="S9" i="5"/>
  <c r="S14" i="5" s="1"/>
  <c r="R14" i="5"/>
  <c r="T9" i="5" s="1"/>
  <c r="T14" i="5" s="1"/>
  <c r="I6" i="22" l="1"/>
  <c r="D68" i="22"/>
  <c r="D70" i="12"/>
  <c r="D71" i="12" l="1"/>
  <c r="J88" i="12" s="1"/>
  <c r="M88" i="12" s="1"/>
  <c r="O48" i="17" s="1"/>
  <c r="I88" i="12"/>
  <c r="H92" i="22"/>
  <c r="D69" i="22"/>
  <c r="H89" i="12"/>
  <c r="H91" i="12"/>
  <c r="H90" i="12"/>
  <c r="I90" i="12"/>
  <c r="I89" i="12"/>
  <c r="I91" i="12"/>
  <c r="J90" i="12" l="1"/>
  <c r="M90" i="12" s="1"/>
  <c r="J89" i="12"/>
  <c r="M89" i="12" s="1"/>
  <c r="J91" i="12"/>
  <c r="M91" i="12" s="1"/>
  <c r="I92" i="22"/>
  <c r="D70" i="22"/>
  <c r="J92" i="22" s="1"/>
  <c r="M92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Lopez Castaneda</author>
  </authors>
  <commentList>
    <comment ref="F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Andrea Lopez Castaneda:</t>
        </r>
        <r>
          <rPr>
            <sz val="9"/>
            <color indexed="81"/>
            <rFont val="Tahoma"/>
            <family val="2"/>
          </rPr>
          <t xml:space="preserve">
Incapacidades negadas definitivamente por la EPS
</t>
        </r>
      </text>
    </comment>
    <comment ref="G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Andrea Lopez Castaneda:</t>
        </r>
        <r>
          <rPr>
            <sz val="9"/>
            <color indexed="81"/>
            <rFont val="Tahoma"/>
            <family val="2"/>
          </rPr>
          <t xml:space="preserve">
Incapacidades negadas definitivamente por la EPS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 Steven Torres Mahecha</author>
  </authors>
  <commentList>
    <comment ref="D219" authorId="0" shapeId="0" xr:uid="{00000000-0006-0000-0200-000001000000}">
      <text>
        <r>
          <rPr>
            <sz val="9"/>
            <color indexed="81"/>
            <rFont val="Tahoma"/>
            <family val="2"/>
          </rPr>
          <t>Se trae el valor de lo que realmente se recaudo en el mes de cierre, incluye los no identificados y a los que no se les a generado cuenta de cobro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Jeisson Fernando Garcia Diaz</author>
    <author>Brigithe Rocio Sandoval Ramos</author>
  </authors>
  <commentList>
    <comment ref="I59" authorId="0" shapeId="0" xr:uid="{00000000-0006-0000-0300-000001000000}">
      <text>
        <r>
          <rPr>
            <b/>
            <sz val="14"/>
            <color indexed="81"/>
            <rFont val="OPEN SAINS"/>
          </rPr>
          <t>1 criterio. Modelo ECL.</t>
        </r>
      </text>
    </comment>
    <comment ref="J59" authorId="0" shapeId="0" xr:uid="{00000000-0006-0000-0300-000002000000}">
      <text>
        <r>
          <rPr>
            <b/>
            <sz val="14"/>
            <color indexed="81"/>
            <rFont val="OPEN SAINS"/>
          </rPr>
          <t>2 criterio. Cartera por cobrar de más de 1 año desglosado por eps y por saldos mayores a 80 millones. (Sobre ese saldo mirar el % castigado y aplicar a la historia de pérdida)</t>
        </r>
      </text>
    </comment>
    <comment ref="K59" authorId="0" shapeId="0" xr:uid="{00000000-0006-0000-0300-000003000000}">
      <text>
        <r>
          <rPr>
            <b/>
            <sz val="14"/>
            <color indexed="81"/>
            <rFont val="OPEN SAINS"/>
          </rPr>
          <t xml:space="preserve">3 criterio. Cartera por cobrar de más de 1 año desglosado por eps y por saldos menores a 80 millones y especial (Aquí van incluidas todas las eps de liquidación e intervención) Se les debe asignar porcentaje de castigo (90-100%) de acuerdo al movimientos de cada una.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
0-180 En plazo
181-209 0-30
210-239 31-60
240-269 61-90
270-299 91-180
300 en adelante Más de 180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 Steven Torres Mahecha</author>
  </authors>
  <commentList>
    <comment ref="D223" authorId="0" shapeId="0" xr:uid="{00000000-0006-0000-0700-000001000000}">
      <text>
        <r>
          <rPr>
            <sz val="9"/>
            <color indexed="81"/>
            <rFont val="Tahoma"/>
            <family val="2"/>
          </rPr>
          <t>Se trae el valor de lo que realmente se recaudo en el mes de cierre, incluye los no identificados y a los que no se les a generado cuenta de cobro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Fernando Sanabria Hernandez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Se pueden colocar varios consecutivos, esto con el fin de que internamente se generen diferentes documentos contables
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Utilizar "SA" para todas las cuentas de mayor que no afecte compañias relacionadas, en el caso de afectar compañias relacionadas usar "PO" 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Colocar un nombre de cabecera breve.
Ojo: El nombre de la cabecera debe ser el mismo para el mismo numero de documento, o de lo contrario el sistema no lo deja subir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corresponde al periodo en el que se va a cargar el documento.
Ojo: la fecha del documento debe ser la misms siempre, para el mismo numero de documento, o de lo contrario el sistema no lo deja subi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corresponde al periodo en el que se va a cargar el documento.
Ojo: la fecha del documento debe ser la misms siempre, para el mismo numero de documento, o de lo contrario el sistema no lo deja subi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Colocar un texto breve.
Ojo: la referencia del documento debe ser la misms siempre, para el mismo numero de documento, o de lo contrario el sistema no lo deja subi</t>
        </r>
      </text>
    </comment>
    <comment ref="G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Colocar siempre O003</t>
        </r>
      </text>
    </comment>
    <comment ref="H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I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 xml:space="preserve">debe ser consecutivo es decir 1,2,3… siempre y cuando el docuemnto "columna a" sea la misma
</t>
        </r>
      </text>
    </comment>
    <comment ref="J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Siempre llenar con S</t>
        </r>
      </text>
    </comment>
    <comment ref="K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Corresponde a las cuentas homologadas de SAP</t>
        </r>
      </text>
    </comment>
    <comment ref="L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M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N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O1" authorId="0" shapeId="0" xr:uid="{00000000-0006-0000-0900-00000F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P1" authorId="0" shapeId="0" xr:uid="{00000000-0006-0000-0900-000010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Q1" authorId="0" shapeId="0" xr:uid="{00000000-0006-0000-0900-000011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R1" authorId="0" shapeId="0" xr:uid="{00000000-0006-0000-0900-000012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S1" authorId="0" shapeId="0" xr:uid="{00000000-0006-0000-0900-000013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T1" authorId="0" shapeId="0" xr:uid="{00000000-0006-0000-0900-000014000000}">
      <text>
        <r>
          <rPr>
            <b/>
            <sz val="9"/>
            <color indexed="81"/>
            <rFont val="Tahoma"/>
            <family val="2"/>
          </rPr>
          <t>Se coloca el saldo a cargar.
OJO: para la naturaleza debito debe ser positivo, y para naturaleza credito negativo</t>
        </r>
      </text>
    </comment>
    <comment ref="U1" authorId="0" shapeId="0" xr:uid="{00000000-0006-0000-0900-000015000000}">
      <text>
        <r>
          <rPr>
            <b/>
            <sz val="9"/>
            <color indexed="81"/>
            <rFont val="Tahoma"/>
            <family val="2"/>
          </rPr>
          <t>Colocar el tipo de moneda correspondiente al saldo a migrar</t>
        </r>
      </text>
    </comment>
    <comment ref="V1" authorId="0" shapeId="0" xr:uid="{00000000-0006-0000-0900-000016000000}">
      <text>
        <r>
          <rPr>
            <b/>
            <sz val="9"/>
            <color indexed="81"/>
            <rFont val="Tahoma"/>
            <family val="2"/>
          </rPr>
          <t>cuando se trate de valor en otra moneda colocar la tasa de cambio</t>
        </r>
      </text>
    </comment>
    <comment ref="W1" authorId="0" shapeId="0" xr:uid="{00000000-0006-0000-0900-000017000000}">
      <text>
        <r>
          <rPr>
            <b/>
            <sz val="9"/>
            <color indexed="81"/>
            <rFont val="Tahoma"/>
            <family val="2"/>
          </rPr>
          <t>Si se trata del saldo de otra moneda colocar la fecha de conversion.</t>
        </r>
      </text>
    </comment>
    <comment ref="X1" authorId="0" shapeId="0" xr:uid="{00000000-0006-0000-0900-000018000000}">
      <text>
        <r>
          <rPr>
            <b/>
            <sz val="9"/>
            <color indexed="81"/>
            <rFont val="Tahoma"/>
            <family val="2"/>
          </rPr>
          <t>Llenar solo si alguno de los saldos afecta impuestos</t>
        </r>
      </text>
    </comment>
    <comment ref="Y1" authorId="0" shapeId="0" xr:uid="{00000000-0006-0000-0900-000019000000}">
      <text>
        <r>
          <rPr>
            <b/>
            <sz val="9"/>
            <color indexed="81"/>
            <rFont val="Tahoma"/>
            <family val="2"/>
          </rPr>
          <t>Llenar solo si alguno de los saldos afecta impuestos</t>
        </r>
      </text>
    </comment>
    <comment ref="Z1" authorId="0" shapeId="0" xr:uid="{00000000-0006-0000-0900-00001A000000}">
      <text>
        <r>
          <rPr>
            <b/>
            <sz val="9"/>
            <color indexed="81"/>
            <rFont val="Tahoma"/>
            <family val="2"/>
          </rPr>
          <t>Llenar solo si alguno de los saldos afecta impuestos</t>
        </r>
      </text>
    </comment>
    <comment ref="AA1" authorId="0" shapeId="0" xr:uid="{00000000-0006-0000-0900-00001B000000}">
      <text>
        <r>
          <rPr>
            <b/>
            <sz val="9"/>
            <color indexed="81"/>
            <rFont val="Tahoma"/>
            <family val="2"/>
          </rPr>
          <t>Llenar solo si alguno de los saldos afecta impuestos</t>
        </r>
      </text>
    </comment>
    <comment ref="AB1" authorId="0" shapeId="0" xr:uid="{00000000-0006-0000-0900-00001C000000}">
      <text>
        <r>
          <rPr>
            <b/>
            <sz val="9"/>
            <color indexed="81"/>
            <rFont val="Tahoma"/>
            <family val="2"/>
          </rPr>
          <t>Utililzar el centro de costos homologados.
OJO: Solo se utiliza para las cuentas de Gastos y Costos</t>
        </r>
      </text>
    </comment>
    <comment ref="AC1" authorId="0" shapeId="0" xr:uid="{00000000-0006-0000-0900-00001D000000}">
      <text>
        <r>
          <rPr>
            <b/>
            <sz val="9"/>
            <color indexed="81"/>
            <rFont val="Tahoma"/>
            <family val="2"/>
          </rPr>
          <t>Utililzar el centro de beneficios homologados.
Nota: la codificacion de los CEBES es la misma de los CECOs
OJO: Solo se utiliza para las cuentas de balance e ingresos</t>
        </r>
      </text>
    </comment>
    <comment ref="AD1" authorId="0" shapeId="0" xr:uid="{00000000-0006-0000-0900-00001E000000}">
      <text>
        <r>
          <rPr>
            <b/>
            <sz val="9"/>
            <color indexed="81"/>
            <rFont val="Tahoma"/>
            <family val="2"/>
          </rPr>
          <t>Se debe colocar el codigo de elemento PEP unicamente cuando este corresponda a un proyecto.</t>
        </r>
      </text>
    </comment>
    <comment ref="AE1" authorId="0" shapeId="0" xr:uid="{00000000-0006-0000-0900-00001F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AF1" authorId="0" shapeId="0" xr:uid="{00000000-0006-0000-0900-000020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AG1" authorId="0" shapeId="0" xr:uid="{00000000-0006-0000-0900-000021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AH1" authorId="0" shapeId="0" xr:uid="{00000000-0006-0000-0900-000022000000}">
      <text>
        <r>
          <rPr>
            <b/>
            <sz val="9"/>
            <color indexed="81"/>
            <rFont val="Tahoma"/>
            <family val="2"/>
          </rPr>
          <t>No llenar</t>
        </r>
      </text>
    </comment>
    <comment ref="AI1" authorId="0" shapeId="0" xr:uid="{00000000-0006-0000-0900-000023000000}">
      <text>
        <r>
          <rPr>
            <b/>
            <sz val="9"/>
            <color indexed="81"/>
            <rFont val="Tahoma"/>
            <family val="2"/>
          </rPr>
          <t>Colocar el numero de identificacion del tercero a afectar, tener encuenta que para aquellos terceros con NIT se les debe colocar el digito de verificacion</t>
        </r>
      </text>
    </comment>
    <comment ref="AM1" authorId="0" shapeId="0" xr:uid="{00000000-0006-0000-0900-000024000000}">
      <text>
        <r>
          <rPr>
            <b/>
            <sz val="9"/>
            <color indexed="81"/>
            <rFont val="Tahoma"/>
            <family val="2"/>
          </rPr>
          <t>En este campo se debe diligenciar la descripcion del asiento</t>
        </r>
      </text>
    </comment>
    <comment ref="AN1" authorId="0" shapeId="0" xr:uid="{00000000-0006-0000-0900-000025000000}">
      <text>
        <r>
          <rPr>
            <b/>
            <sz val="9"/>
            <color indexed="81"/>
            <rFont val="Tahoma"/>
            <family val="2"/>
          </rPr>
          <t>Solo se utiliza cuando el saldo corersponda a una entidad relacionada.</t>
        </r>
      </text>
    </comment>
    <comment ref="AQ1" authorId="0" shapeId="0" xr:uid="{00000000-0006-0000-0900-000026000000}">
      <text>
        <r>
          <rPr>
            <b/>
            <sz val="9"/>
            <color indexed="81"/>
            <rFont val="Tahoma"/>
            <family val="2"/>
          </rPr>
          <t>corresponde al periodo en el que se va a cargar el documento.
Ojo: la fecha del documento debe ser la misms siempre, para el mismo numero de documento, o de lo contrario el sistema no lo deja subi</t>
        </r>
      </text>
    </comment>
  </commentList>
</comments>
</file>

<file path=xl/sharedStrings.xml><?xml version="1.0" encoding="utf-8"?>
<sst xmlns="http://schemas.openxmlformats.org/spreadsheetml/2006/main" count="5927" uniqueCount="353">
  <si>
    <t>Resumen Incapacidades año - mes</t>
  </si>
  <si>
    <t>Año novedad</t>
  </si>
  <si>
    <t>Mes Novedad</t>
  </si>
  <si>
    <t>Incapacidades - Cuenta por cobrar a la EPS</t>
  </si>
  <si>
    <t>Reintegro Eps</t>
  </si>
  <si>
    <t>Castigo Cartera</t>
  </si>
  <si>
    <t>Pendiente de Recuperación Real</t>
  </si>
  <si>
    <t>Dinámica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</si>
  <si>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</si>
  <si>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</si>
  <si>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</si>
  <si>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</si>
  <si>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</si>
  <si>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</si>
  <si>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</si>
  <si>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</si>
  <si>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</si>
  <si>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</si>
  <si>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</si>
  <si>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</si>
  <si>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2021</t>
  </si>
  <si>
    <t>Total 2022</t>
  </si>
  <si>
    <t>Total 2023</t>
  </si>
  <si>
    <t>Total 2024</t>
  </si>
  <si>
    <t>Total general</t>
  </si>
  <si>
    <t>Sáldo nómina</t>
  </si>
  <si>
    <t>Saldo Contable</t>
  </si>
  <si>
    <t>DIFERENCIA</t>
  </si>
  <si>
    <t>Fondo/Mes</t>
  </si>
  <si>
    <t>NOMBRE</t>
  </si>
  <si>
    <t>En plazo</t>
  </si>
  <si>
    <t>Más de 180</t>
  </si>
  <si>
    <t>TOTAL</t>
  </si>
  <si>
    <t>AMBUQ</t>
  </si>
  <si>
    <t>CAPITAL SALUD</t>
  </si>
  <si>
    <t>DUSAKAWI</t>
  </si>
  <si>
    <t>FOSYGA</t>
  </si>
  <si>
    <t>MUTUAL SER</t>
  </si>
  <si>
    <t>RANGOS PARA MODELO ECL</t>
  </si>
  <si>
    <t>0-180</t>
  </si>
  <si>
    <t>181-209</t>
  </si>
  <si>
    <t>0-30</t>
  </si>
  <si>
    <t>210-239</t>
  </si>
  <si>
    <t>31-60</t>
  </si>
  <si>
    <t>240-269</t>
  </si>
  <si>
    <t>61-90</t>
  </si>
  <si>
    <t>270-299</t>
  </si>
  <si>
    <t>91-180</t>
  </si>
  <si>
    <t>300 en adelante</t>
  </si>
  <si>
    <t>MODELO INICIAL (3 CRITERIOS)</t>
  </si>
  <si>
    <t>1. MODELO DE PROVISIÓN SALDO GENERAL</t>
  </si>
  <si>
    <t>Prov. Actual</t>
  </si>
  <si>
    <t>Pérdida con Modelo</t>
  </si>
  <si>
    <t xml:space="preserve">Disminicion  Prov mes a mes </t>
  </si>
  <si>
    <t>Total Cartera</t>
  </si>
  <si>
    <t>Enero</t>
  </si>
  <si>
    <t>Total Provision</t>
  </si>
  <si>
    <t>EPS</t>
  </si>
  <si>
    <t>Cartera más de un año</t>
  </si>
  <si>
    <t>% castigado</t>
  </si>
  <si>
    <t>Valor provisión</t>
  </si>
  <si>
    <t>TOTAL GENERAL</t>
  </si>
  <si>
    <t>TOTAL PROVISIÓN MODELO PERDIDA ESPERADA</t>
  </si>
  <si>
    <t>PROVISIÓN ACTUAL</t>
  </si>
  <si>
    <t xml:space="preserve">AJUSTE A LA PROVISION </t>
  </si>
  <si>
    <t>Provisión Incapacidades por Edades</t>
  </si>
  <si>
    <t>Año</t>
  </si>
  <si>
    <t>Total Incapacidades</t>
  </si>
  <si>
    <t>Valores Recuperados</t>
  </si>
  <si>
    <t>Pendiente por Recuperar</t>
  </si>
  <si>
    <t>Provision Actual</t>
  </si>
  <si>
    <t>Exceso/ Faltante</t>
  </si>
  <si>
    <t>% Provision</t>
  </si>
  <si>
    <t xml:space="preserve">Promedio provisiones </t>
  </si>
  <si>
    <t>Totales</t>
  </si>
  <si>
    <t>Mes</t>
  </si>
  <si>
    <t>Diferencia</t>
  </si>
  <si>
    <t>Pendientes</t>
  </si>
  <si>
    <t xml:space="preserve">Variacion/Disminución Recaudo </t>
  </si>
  <si>
    <t>Cartera</t>
  </si>
  <si>
    <t>Recaudo</t>
  </si>
  <si>
    <t>Febrero</t>
  </si>
  <si>
    <t>EMSSANAR</t>
  </si>
  <si>
    <t>item</t>
  </si>
  <si>
    <t>Valor</t>
  </si>
  <si>
    <t>Conciliacion mes</t>
  </si>
  <si>
    <t>Partidas reg. sin identificar</t>
  </si>
  <si>
    <t>Histórico Faltante Provision</t>
  </si>
  <si>
    <t>Incapacidades sin registrar</t>
  </si>
  <si>
    <t>No cobrables en resultados - CASTIGO</t>
  </si>
  <si>
    <t>Marzo</t>
  </si>
  <si>
    <t>ALIANSALUD EPS (ANTES COLMEDICA)</t>
  </si>
  <si>
    <t>ASMET SALUD EPS SAS</t>
  </si>
  <si>
    <t>CAJACOPI ATLANTICO</t>
  </si>
  <si>
    <t>CAPRESOCA</t>
  </si>
  <si>
    <t>COLPATRIA ARP</t>
  </si>
  <si>
    <t>COMFAMILIAR GUAJIRA</t>
  </si>
  <si>
    <t>COMFAMILIAR HUILA</t>
  </si>
  <si>
    <t>COMFAORIENTE</t>
  </si>
  <si>
    <t>COMFENALCO VALLE</t>
  </si>
  <si>
    <t>COMPARTA</t>
  </si>
  <si>
    <t>COMPENSAR</t>
  </si>
  <si>
    <t>CONVIDA</t>
  </si>
  <si>
    <t>COOMEVA</t>
  </si>
  <si>
    <t>COOSALUD EPS</t>
  </si>
  <si>
    <t>EMPRESAS PUBLICAS DE MEDELLIN DEPARTAMENTO MEDICO</t>
  </si>
  <si>
    <t>EPS ECOOPSOS S.A.S</t>
  </si>
  <si>
    <t>EPS MUTUAL SER</t>
  </si>
  <si>
    <t>EPS SURA (ANTES SUSALUD)</t>
  </si>
  <si>
    <t>FAMISANAR</t>
  </si>
  <si>
    <t>MEDIMAS EPS</t>
  </si>
  <si>
    <t>NUEVA E.P.S.</t>
  </si>
  <si>
    <t>S.O.S. SERVICIO OCCIDENTAL DE SALUD S.A.</t>
  </si>
  <si>
    <t>SALUD MIA EPS</t>
  </si>
  <si>
    <t>SALUD TOTAL</t>
  </si>
  <si>
    <t>SANITAS</t>
  </si>
  <si>
    <t>SAVIA SALUD</t>
  </si>
  <si>
    <t>COOSALUD MOVILIDAD</t>
  </si>
  <si>
    <t>NUEVA EPS MOVILIDAD</t>
  </si>
  <si>
    <t>Abril</t>
  </si>
  <si>
    <t>ABRIL</t>
  </si>
  <si>
    <t>MARZO</t>
  </si>
  <si>
    <t>FEBRERO</t>
  </si>
  <si>
    <t>ENERO</t>
  </si>
  <si>
    <t xml:space="preserve">3 criterio. Cartera por cobrar de más de 1 año desglosado por eps y por saldos menores a 80 millones y especial (Aquí van incluidas todas las eps de liquidación e intervención) Se les debe asignar porcentaje de castigo (90-100%) de acuerdo al movimientos de cada una. </t>
  </si>
  <si>
    <t>2. CARTERA MÁS DE UN AÑO Y MÁS DE 80 MILLONES -(Cartera por cobrar de más de 1 año desglosado por eps y por saldos mayores a 80 millones. (Sobre ese saldo mirar el % castigado y aplicar a la historia de pérdida)</t>
  </si>
  <si>
    <t>CRITERIO 1</t>
  </si>
  <si>
    <t>CRITERIO 2</t>
  </si>
  <si>
    <t>CRITERIO 3</t>
  </si>
  <si>
    <t>PROVISIÓN FINAL</t>
  </si>
  <si>
    <t>Mayo</t>
  </si>
  <si>
    <t>MODELO ECL  2024</t>
  </si>
  <si>
    <t>JUNIO</t>
  </si>
  <si>
    <t>Junio</t>
  </si>
  <si>
    <t>JULIO</t>
  </si>
  <si>
    <t>Julio</t>
  </si>
  <si>
    <t>A.I.C.</t>
  </si>
  <si>
    <t>CAJACOPI</t>
  </si>
  <si>
    <t>2024</t>
  </si>
  <si>
    <t>AGOSTO</t>
  </si>
  <si>
    <t>Agosto</t>
  </si>
  <si>
    <t>Fecha de documento</t>
  </si>
  <si>
    <t>MAYO</t>
  </si>
  <si>
    <t>SEPTIEMBRE</t>
  </si>
  <si>
    <t>MES</t>
  </si>
  <si>
    <t>RECAUDO</t>
  </si>
  <si>
    <t>MODELO</t>
  </si>
  <si>
    <t>Suma de RECAUDO</t>
  </si>
  <si>
    <t>V Recuperados.</t>
  </si>
  <si>
    <t>Castigado.</t>
  </si>
  <si>
    <t>En recuperacion.</t>
  </si>
  <si>
    <t>Saldo por Año</t>
  </si>
  <si>
    <t>%</t>
  </si>
  <si>
    <t>SALDO CARTERA POR AÑOS</t>
  </si>
  <si>
    <t>SALDO CONTABLE POR MES</t>
  </si>
  <si>
    <t>Suma de SALDO CONTABLE POR MES</t>
  </si>
  <si>
    <t>PROVISION VS CARTERA</t>
  </si>
  <si>
    <t>TOTAL PROVISIÓN</t>
  </si>
  <si>
    <t>G</t>
  </si>
  <si>
    <t>INTERVENIDAS</t>
  </si>
  <si>
    <t>VALOR TOTAL</t>
  </si>
  <si>
    <t>VALOR PROVISIONADO</t>
  </si>
  <si>
    <t>AJUSTE MES</t>
  </si>
  <si>
    <t>SALDO CARTERA POR EPS</t>
  </si>
  <si>
    <t>feb</t>
  </si>
  <si>
    <t>mar</t>
  </si>
  <si>
    <t>abr</t>
  </si>
  <si>
    <t>may</t>
  </si>
  <si>
    <t>jun</t>
  </si>
  <si>
    <t>jul</t>
  </si>
  <si>
    <t>ago</t>
  </si>
  <si>
    <t>Suma de Valor</t>
  </si>
  <si>
    <t>Años</t>
  </si>
  <si>
    <t>Total cartera EPS Int.</t>
  </si>
  <si>
    <t>Total Provision EPS Int.</t>
  </si>
  <si>
    <t xml:space="preserve">OBSERVACIONES: 100% primer Criterio + 90% Tercer Criterio </t>
  </si>
  <si>
    <t>Recaudo 2024</t>
  </si>
  <si>
    <t>Cartera 2024</t>
  </si>
  <si>
    <t>Variacion cartera</t>
  </si>
  <si>
    <t>Variacion Recaudo</t>
  </si>
  <si>
    <t>Septiembre</t>
  </si>
  <si>
    <t>Octubre</t>
  </si>
  <si>
    <t>Noviembre</t>
  </si>
  <si>
    <t>Diciembre</t>
  </si>
  <si>
    <t>RESUMEN RECAUDO MES</t>
  </si>
  <si>
    <t>Total 2020</t>
  </si>
  <si>
    <t>TOTAL CARTERA</t>
  </si>
  <si>
    <t>RECOBRADO</t>
  </si>
  <si>
    <t>CASTIGADO</t>
  </si>
  <si>
    <t>(Todas)</t>
  </si>
  <si>
    <t>saldo catera</t>
  </si>
  <si>
    <t>VALOR</t>
  </si>
  <si>
    <t>CONCEPTO</t>
  </si>
  <si>
    <t>sep</t>
  </si>
  <si>
    <t>CARTERA</t>
  </si>
  <si>
    <t xml:space="preserve">Recaudo </t>
  </si>
  <si>
    <t>oct</t>
  </si>
  <si>
    <t>nov</t>
  </si>
  <si>
    <t>dic</t>
  </si>
  <si>
    <t>Total 2025</t>
  </si>
  <si>
    <t>FEBRERO 2024</t>
  </si>
  <si>
    <t>MARZO 224</t>
  </si>
  <si>
    <t>ABRIL 2024</t>
  </si>
  <si>
    <t>MAYO 2024</t>
  </si>
  <si>
    <t>JUNIO2024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</si>
  <si>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</si>
  <si>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</si>
  <si>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</si>
  <si>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</si>
  <si>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</si>
  <si>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</si>
  <si>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</si>
  <si>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SALDO DIC 2024</t>
  </si>
  <si>
    <t>Cartera 2025</t>
  </si>
  <si>
    <t>Recaudo 2025</t>
  </si>
  <si>
    <t>2025</t>
  </si>
  <si>
    <t>EPM</t>
  </si>
  <si>
    <t>Saldo CXC Febrero 2025</t>
  </si>
  <si>
    <t>Saldo CXC Enero 2025</t>
  </si>
  <si>
    <t>MODELO ECL  2025</t>
  </si>
  <si>
    <t xml:space="preserve">SAVIA SALUD </t>
  </si>
  <si>
    <t>Saldo CXC Marzo 2025</t>
  </si>
  <si>
    <t>MARZO 2025</t>
  </si>
  <si>
    <t>Saldo CXC Abril 2025</t>
  </si>
  <si>
    <t>ABRIL 2025</t>
  </si>
  <si>
    <t>Saldo CXC Mayo 2025</t>
  </si>
  <si>
    <t>MAYO 2025</t>
  </si>
  <si>
    <t>Total 2019</t>
  </si>
  <si>
    <t>Total 2018</t>
  </si>
  <si>
    <t>Saldo CXC Junio 2025</t>
  </si>
  <si>
    <t>JUNIO 2025</t>
  </si>
  <si>
    <t>JULIO 2025</t>
  </si>
  <si>
    <t>Saldo CXC Julio 2025</t>
  </si>
  <si>
    <t>Documento</t>
  </si>
  <si>
    <t>Clase de documento</t>
  </si>
  <si>
    <t>Texto de Cabecera</t>
  </si>
  <si>
    <t>Fecha de contabilizacion</t>
  </si>
  <si>
    <t>Referencia</t>
  </si>
  <si>
    <t>Sociedad</t>
  </si>
  <si>
    <t>Norm. Pres. Ctas</t>
  </si>
  <si>
    <t>Posición</t>
  </si>
  <si>
    <t>Tipo de cuenta</t>
  </si>
  <si>
    <t>Cuenta</t>
  </si>
  <si>
    <t>Activo Fijo</t>
  </si>
  <si>
    <t>Sub Numero Activo Fijo</t>
  </si>
  <si>
    <t>Clase Movimiento AF</t>
  </si>
  <si>
    <t>Fecha Ref AA</t>
  </si>
  <si>
    <t>Indicador CME</t>
  </si>
  <si>
    <t>Area Funcional</t>
  </si>
  <si>
    <t>Grafo</t>
  </si>
  <si>
    <t>Num Operacion</t>
  </si>
  <si>
    <t>Importe</t>
  </si>
  <si>
    <t>Moneda</t>
  </si>
  <si>
    <t>T/C</t>
  </si>
  <si>
    <t>Fecha Conversion</t>
  </si>
  <si>
    <t>Indicador impuestos</t>
  </si>
  <si>
    <t>Tipo de Retencion</t>
  </si>
  <si>
    <t>Ind de Retencion</t>
  </si>
  <si>
    <t>Base Ret</t>
  </si>
  <si>
    <t>Centro de coste</t>
  </si>
  <si>
    <t>Centro de Beneficio</t>
  </si>
  <si>
    <t>Elemento PEP</t>
  </si>
  <si>
    <t>Orden CO</t>
  </si>
  <si>
    <t>Fecha Valor</t>
  </si>
  <si>
    <t>Banco Propio</t>
  </si>
  <si>
    <t>ID de Cuenta</t>
  </si>
  <si>
    <t>Asignacion</t>
  </si>
  <si>
    <t>Clave Ref 1</t>
  </si>
  <si>
    <t>Clave Ref 2</t>
  </si>
  <si>
    <t>Clave Ref 3</t>
  </si>
  <si>
    <t>Texto Posicion</t>
  </si>
  <si>
    <t>Sociedad GL</t>
  </si>
  <si>
    <t>EPS intervenida</t>
  </si>
  <si>
    <t>SA</t>
  </si>
  <si>
    <t>Reclasf. Reg</t>
  </si>
  <si>
    <t>O003</t>
  </si>
  <si>
    <t>S</t>
  </si>
  <si>
    <t>COP</t>
  </si>
  <si>
    <t>O003001452</t>
  </si>
  <si>
    <t>PAGO DE PROV CAJA VALLE DEL CAUCA</t>
  </si>
  <si>
    <t>Pago Incap</t>
  </si>
  <si>
    <t>PAGO INCAP</t>
  </si>
  <si>
    <t>PAGO DE PROV SALUD TOTAL EPS</t>
  </si>
  <si>
    <t>PAGO INTERBANC EPS SANITAS S A</t>
  </si>
  <si>
    <t>PAGO INTERBANC EPS  SOS S A</t>
  </si>
  <si>
    <t>PAGO INTERBANC EMSSANAR ENTIDA</t>
  </si>
  <si>
    <t>PAGO INTERBANC EPS FAMISANAR S</t>
  </si>
  <si>
    <t>PAGO DE PROV ALIANSALUD EPS</t>
  </si>
  <si>
    <t>PAGO INTERBANC AXA COLPATRIA S</t>
  </si>
  <si>
    <t>PAGO INTERBANC CAJA DE COMPENS</t>
  </si>
  <si>
    <t>PAGO DE PROV NUEVA EPS S A</t>
  </si>
  <si>
    <t>EPS SURA</t>
  </si>
  <si>
    <t>PAGO DE PROV EPS SURAMERICAN</t>
  </si>
  <si>
    <t>PAGO INTERBANC MUTUAL SER EPS</t>
  </si>
  <si>
    <t>PAGO DE PROV CAPITAL SALUD E</t>
  </si>
  <si>
    <t>PAGO DE PROV AMA EPS S.A.S</t>
  </si>
  <si>
    <t>PAGO INTERBANC FUNDACION SALUD</t>
  </si>
  <si>
    <t>PAGO INTERBANC COOSALUD-ENTIDA</t>
  </si>
  <si>
    <t>PAGO DE PROV ASOCIACION MUTU</t>
  </si>
  <si>
    <t>PAGO INTERBANC EMSSANAR EMPRES</t>
  </si>
  <si>
    <t>PAGO INTERBANC COMFENALCO</t>
  </si>
  <si>
    <t>PAGO INTERBANC EPS FAMISANAR S</t>
  </si>
  <si>
    <t>PAGO TERCERO RECIBIDO DESDE ACH</t>
  </si>
  <si>
    <t>PAGO INTERBANC MEDIMAS EPS S A</t>
  </si>
  <si>
    <t>Devolucion Empleado NOMINA</t>
  </si>
  <si>
    <t>PAGO INTERBANC SALUD-TOTAL-EPS</t>
  </si>
  <si>
    <t>PAGO DE PROV ADRES</t>
  </si>
  <si>
    <t>NUEVA EMPRESA PROMOTORA DE SALUD S.A.</t>
  </si>
  <si>
    <t xml:space="preserve">Reclasf Gasto Inc </t>
  </si>
  <si>
    <t>RECLASIFICACION INC NO COBRABLES 2024</t>
  </si>
  <si>
    <t>PAGO INTERBANC COLMENA RIESGOS</t>
  </si>
  <si>
    <t>PAGO INTERBANC ASMET SALUD EPS</t>
  </si>
  <si>
    <t>PAGO INTERBANC CAPRESOCA EPS</t>
  </si>
  <si>
    <t>07 TRANSFERENCIA CTA SUC VIRTUAL 4160</t>
  </si>
  <si>
    <t>PAGO INTERBANC ASOCIACION DE C</t>
  </si>
  <si>
    <t>REV COM TRANAHORROS AHORROSUC TEL CTAPP</t>
  </si>
  <si>
    <t>PAGO DE PROV NUEVA EMPRESA P</t>
  </si>
  <si>
    <t>PAGO INTERBANCARIOAHORROS 8142</t>
  </si>
  <si>
    <t>PAGO DE PROV AMA EPS S,A,S</t>
  </si>
  <si>
    <t>PAGO INTERBANC ASOCIACION INDI</t>
  </si>
  <si>
    <t>PAGO CAJA DE COMPENSACION VALLE DEL CAUCA</t>
  </si>
  <si>
    <t>Saldo CXC Agosto 2025</t>
  </si>
  <si>
    <t>AGOSTO 2025</t>
  </si>
  <si>
    <t>SEPTIEMBRE 2025</t>
  </si>
  <si>
    <t>OCTUBRE 2025</t>
  </si>
  <si>
    <t>NOVIEMBRE 2025</t>
  </si>
  <si>
    <t>DICIEMBRE 2025</t>
  </si>
  <si>
    <t>PAGO INTERBANC EPS FAMILIAR DE</t>
  </si>
  <si>
    <t xml:space="preserve">saldo inicial </t>
  </si>
  <si>
    <t>Causado</t>
  </si>
  <si>
    <t>pagos</t>
  </si>
  <si>
    <t>saldo mes</t>
  </si>
  <si>
    <t>Conciliacion 1</t>
  </si>
  <si>
    <t>Fecha</t>
  </si>
  <si>
    <t>Observacion</t>
  </si>
  <si>
    <t>enero</t>
  </si>
  <si>
    <t>occi</t>
  </si>
  <si>
    <t xml:space="preserve">Conciliacion Yen </t>
  </si>
  <si>
    <t>SAVIA SALUD - AMA</t>
  </si>
  <si>
    <t>BANCOLOMBIA 3</t>
  </si>
  <si>
    <t>BANCOLOMBIA 4</t>
  </si>
  <si>
    <t>S.O.S</t>
  </si>
  <si>
    <t>Partidas reg sin identificar</t>
  </si>
  <si>
    <t>PAGOS MES</t>
  </si>
  <si>
    <t>PAGOS GI</t>
  </si>
  <si>
    <t>PAGOS PENDIENTES MES</t>
  </si>
  <si>
    <t>Conciliacion 2</t>
  </si>
  <si>
    <t>Dif siempre 0</t>
  </si>
  <si>
    <t>Dif</t>
  </si>
  <si>
    <t>Saldo confirmado Cont</t>
  </si>
  <si>
    <t>Saldo CXC Septiembre 2025</t>
  </si>
  <si>
    <t>Etiquetas de fila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</si>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</sst>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\ * #,##0_);_(&quot;$&quot;\ * \(#,##0\);_(&quot;$&quot;\ * &quot;-&quot;??_);_(@_)"/>
    <numFmt numFmtId="167" formatCode="_-* #,##0_-;\-* #,##0_-;_-* &quot;-&quot;??_-;_-@_-"/>
    <numFmt numFmtId="168" formatCode="0.0%"/>
    <numFmt numFmtId="169" formatCode="_-&quot;$&quot;\ * #,##0_-;\-&quot;$&quot;\ * #,##0_-;_-&quot;$&quot;\ * &quot;-&quot;??_-;_-@_-"/>
    <numFmt numFmtId="170" formatCode="#,##0.0,,"/>
    <numFmt numFmtId="171" formatCode="_-&quot;$&quot;* #,##0_-;\-&quot;$&quot;* #,##0_-;_-&quot;$&quot;* &quot;-&quot;??_-;_-@_-"/>
    <numFmt numFmtId="172" formatCode="#,##0,,"/>
    <numFmt numFmtId="173" formatCode="&quot;$&quot;\ #,##0,,&quot;M&quot;"/>
    <numFmt numFmtId="174" formatCode="&quot;$&quot;#,##0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3A3838"/>
      <name val="EYInterstate Light"/>
    </font>
    <font>
      <sz val="11"/>
      <color indexed="8"/>
      <name val="Calibri"/>
      <family val="2"/>
      <scheme val="minor"/>
    </font>
    <font>
      <sz val="10"/>
      <color rgb="FF000000"/>
      <name val="EYInterstate Light"/>
    </font>
    <font>
      <b/>
      <i/>
      <sz val="18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EYInterstate Light"/>
    </font>
    <font>
      <b/>
      <u/>
      <sz val="11"/>
      <color theme="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sz val="8"/>
      <name val="Calibri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OPEN SAINS"/>
    </font>
    <font>
      <b/>
      <sz val="10"/>
      <color theme="0"/>
      <name val="OPEN SAINS"/>
    </font>
    <font>
      <b/>
      <sz val="10"/>
      <color theme="1"/>
      <name val="OPEN SAINS"/>
    </font>
    <font>
      <sz val="9"/>
      <color theme="1"/>
      <name val="OPEN SAINS"/>
    </font>
    <font>
      <b/>
      <sz val="8"/>
      <color theme="1"/>
      <name val="OPEN SAINS"/>
    </font>
    <font>
      <sz val="10"/>
      <color theme="0"/>
      <name val="OPEN SAINS"/>
    </font>
    <font>
      <b/>
      <sz val="14"/>
      <color indexed="81"/>
      <name val="OPEN SAINS"/>
    </font>
    <font>
      <b/>
      <sz val="14"/>
      <color theme="0"/>
      <name val="Calibri"/>
      <family val="2"/>
      <scheme val="minor"/>
    </font>
    <font>
      <b/>
      <sz val="12"/>
      <color theme="1"/>
      <name val="OPEN SAINS"/>
    </font>
    <font>
      <b/>
      <sz val="9"/>
      <name val="OPEN SAINS"/>
    </font>
    <font>
      <b/>
      <sz val="16"/>
      <color theme="0"/>
      <name val="OPEN SAINS"/>
    </font>
    <font>
      <b/>
      <sz val="10"/>
      <name val="OPEN SAINS"/>
    </font>
    <font>
      <b/>
      <sz val="22"/>
      <color theme="1"/>
      <name val="OPEN SAINS"/>
    </font>
    <font>
      <b/>
      <sz val="9"/>
      <color theme="1"/>
      <name val="Calibri"/>
      <family val="2"/>
      <scheme val="minor"/>
    </font>
    <font>
      <b/>
      <sz val="11"/>
      <color rgb="FF00B050"/>
      <name val="OPEN SAINS"/>
    </font>
    <font>
      <b/>
      <sz val="11"/>
      <color theme="8" tint="-0.499984740745262"/>
      <name val="OPEN SAINS"/>
    </font>
    <font>
      <b/>
      <sz val="11"/>
      <color rgb="FFFF0000"/>
      <name val="OPEN SAINS"/>
    </font>
    <font>
      <b/>
      <sz val="11"/>
      <color rgb="FF6B5AE8"/>
      <name val="OPEN SAINS"/>
    </font>
    <font>
      <b/>
      <sz val="12"/>
      <color theme="0"/>
      <name val="OPEN SAINS"/>
    </font>
    <font>
      <b/>
      <u/>
      <sz val="10"/>
      <color theme="0"/>
      <name val="OPEN SAINS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260C8"/>
        <bgColor indexed="64"/>
      </patternFill>
    </fill>
    <fill>
      <patternFill patternType="solid">
        <fgColor rgb="FF685AEC"/>
        <bgColor indexed="64"/>
      </patternFill>
    </fill>
    <fill>
      <patternFill patternType="solid">
        <fgColor rgb="FF6260C8"/>
        <bgColor theme="4" tint="0.79998168889431442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0" fontId="1" fillId="0" borderId="0"/>
    <xf numFmtId="0" fontId="25" fillId="15" borderId="6"/>
    <xf numFmtId="0" fontId="1" fillId="0" borderId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1">
    <xf numFmtId="0" fontId="0" fillId="0" borderId="0" xfId="0"/>
    <xf numFmtId="165" fontId="0" fillId="0" borderId="0" xfId="1" applyNumberFormat="1" applyFont="1"/>
    <xf numFmtId="165" fontId="0" fillId="0" borderId="3" xfId="1" applyNumberFormat="1" applyFont="1" applyBorder="1"/>
    <xf numFmtId="165" fontId="0" fillId="0" borderId="3" xfId="1" applyNumberFormat="1" applyFont="1" applyFill="1" applyBorder="1"/>
    <xf numFmtId="165" fontId="0" fillId="0" borderId="0" xfId="1" applyNumberFormat="1" applyFont="1" applyBorder="1"/>
    <xf numFmtId="165" fontId="0" fillId="0" borderId="0" xfId="0" applyNumberFormat="1"/>
    <xf numFmtId="165" fontId="0" fillId="0" borderId="4" xfId="1" applyNumberFormat="1" applyFont="1" applyFill="1" applyBorder="1"/>
    <xf numFmtId="165" fontId="0" fillId="0" borderId="0" xfId="1" applyNumberFormat="1" applyFont="1" applyFill="1" applyBorder="1"/>
    <xf numFmtId="165" fontId="3" fillId="0" borderId="0" xfId="1" applyNumberFormat="1" applyFont="1" applyFill="1" applyBorder="1"/>
    <xf numFmtId="0" fontId="3" fillId="0" borderId="0" xfId="0" applyFont="1"/>
    <xf numFmtId="165" fontId="0" fillId="0" borderId="5" xfId="1" applyNumberFormat="1" applyFont="1" applyFill="1" applyBorder="1"/>
    <xf numFmtId="166" fontId="3" fillId="0" borderId="0" xfId="3" applyNumberFormat="1" applyFont="1"/>
    <xf numFmtId="166" fontId="3" fillId="0" borderId="0" xfId="3" applyNumberFormat="1" applyFont="1" applyFill="1"/>
    <xf numFmtId="0" fontId="3" fillId="5" borderId="0" xfId="0" applyFont="1" applyFill="1"/>
    <xf numFmtId="165" fontId="0" fillId="0" borderId="6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 wrapText="1"/>
    </xf>
    <xf numFmtId="165" fontId="0" fillId="0" borderId="0" xfId="1" applyNumberFormat="1" applyFont="1" applyFill="1"/>
    <xf numFmtId="17" fontId="0" fillId="0" borderId="0" xfId="0" applyNumberFormat="1" applyAlignment="1">
      <alignment vertical="center"/>
    </xf>
    <xf numFmtId="165" fontId="0" fillId="0" borderId="6" xfId="1" applyNumberFormat="1" applyFont="1" applyFill="1" applyBorder="1" applyAlignment="1">
      <alignment horizontal="center"/>
    </xf>
    <xf numFmtId="0" fontId="0" fillId="0" borderId="6" xfId="0" applyBorder="1"/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/>
    </xf>
    <xf numFmtId="167" fontId="10" fillId="0" borderId="6" xfId="0" applyNumberFormat="1" applyFont="1" applyBorder="1"/>
    <xf numFmtId="168" fontId="0" fillId="0" borderId="6" xfId="4" applyNumberFormat="1" applyFont="1" applyBorder="1"/>
    <xf numFmtId="167" fontId="0" fillId="0" borderId="6" xfId="1" applyNumberFormat="1" applyFont="1" applyBorder="1"/>
    <xf numFmtId="167" fontId="11" fillId="8" borderId="9" xfId="6" applyNumberFormat="1" applyFont="1" applyFill="1" applyBorder="1" applyAlignment="1">
      <alignment horizontal="right" wrapText="1" readingOrder="1"/>
    </xf>
    <xf numFmtId="0" fontId="9" fillId="0" borderId="0" xfId="0" applyFont="1" applyAlignment="1">
      <alignment vertical="center" wrapText="1"/>
    </xf>
    <xf numFmtId="9" fontId="0" fillId="0" borderId="6" xfId="4" applyFont="1" applyBorder="1"/>
    <xf numFmtId="0" fontId="0" fillId="0" borderId="6" xfId="0" applyBorder="1" applyAlignment="1">
      <alignment horizontal="left"/>
    </xf>
    <xf numFmtId="169" fontId="0" fillId="0" borderId="6" xfId="3" applyNumberFormat="1" applyFont="1" applyBorder="1"/>
    <xf numFmtId="9" fontId="0" fillId="0" borderId="6" xfId="0" applyNumberFormat="1" applyBorder="1"/>
    <xf numFmtId="165" fontId="3" fillId="0" borderId="6" xfId="1" applyNumberFormat="1" applyFont="1" applyFill="1" applyBorder="1" applyAlignment="1">
      <alignment horizontal="center"/>
    </xf>
    <xf numFmtId="0" fontId="12" fillId="0" borderId="0" xfId="0" applyFont="1"/>
    <xf numFmtId="49" fontId="12" fillId="0" borderId="0" xfId="0" applyNumberFormat="1" applyFont="1"/>
    <xf numFmtId="0" fontId="13" fillId="11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5" fontId="3" fillId="0" borderId="0" xfId="6" applyNumberFormat="1" applyFont="1" applyBorder="1"/>
    <xf numFmtId="9" fontId="1" fillId="0" borderId="0" xfId="4" applyFont="1" applyBorder="1" applyAlignment="1">
      <alignment horizontal="center" vertical="center"/>
    </xf>
    <xf numFmtId="41" fontId="1" fillId="0" borderId="0" xfId="2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3" fillId="0" borderId="0" xfId="0" applyNumberFormat="1" applyFont="1"/>
    <xf numFmtId="0" fontId="15" fillId="0" borderId="0" xfId="0" applyFont="1"/>
    <xf numFmtId="49" fontId="12" fillId="0" borderId="0" xfId="0" applyNumberFormat="1" applyFont="1" applyAlignment="1">
      <alignment horizontal="centerContinuous"/>
    </xf>
    <xf numFmtId="0" fontId="15" fillId="9" borderId="0" xfId="0" applyFont="1" applyFill="1" applyAlignment="1">
      <alignment horizontal="centerContinuous"/>
    </xf>
    <xf numFmtId="0" fontId="1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6" fontId="0" fillId="0" borderId="0" xfId="0" applyNumberFormat="1"/>
    <xf numFmtId="165" fontId="0" fillId="0" borderId="0" xfId="0" applyNumberFormat="1" applyAlignment="1">
      <alignment horizontal="centerContinuous"/>
    </xf>
    <xf numFmtId="43" fontId="0" fillId="0" borderId="0" xfId="1" applyFont="1" applyFill="1"/>
    <xf numFmtId="9" fontId="0" fillId="0" borderId="0" xfId="4" applyFont="1"/>
    <xf numFmtId="170" fontId="13" fillId="11" borderId="10" xfId="1" applyNumberFormat="1" applyFont="1" applyFill="1" applyBorder="1"/>
    <xf numFmtId="0" fontId="17" fillId="0" borderId="0" xfId="0" applyFont="1"/>
    <xf numFmtId="0" fontId="18" fillId="0" borderId="10" xfId="0" applyFont="1" applyBorder="1" applyAlignment="1">
      <alignment horizontal="center" vertical="center"/>
    </xf>
    <xf numFmtId="170" fontId="18" fillId="0" borderId="10" xfId="1" applyNumberFormat="1" applyFont="1" applyBorder="1" applyAlignment="1">
      <alignment vertical="center"/>
    </xf>
    <xf numFmtId="9" fontId="18" fillId="9" borderId="10" xfId="4" applyFont="1" applyFill="1" applyBorder="1" applyAlignment="1">
      <alignment horizontal="center" vertical="center"/>
    </xf>
    <xf numFmtId="170" fontId="18" fillId="10" borderId="10" xfId="1" applyNumberFormat="1" applyFont="1" applyFill="1" applyBorder="1" applyAlignment="1">
      <alignment vertical="center"/>
    </xf>
    <xf numFmtId="165" fontId="18" fillId="0" borderId="0" xfId="0" applyNumberFormat="1" applyFont="1"/>
    <xf numFmtId="0" fontId="18" fillId="0" borderId="0" xfId="0" applyFont="1"/>
    <xf numFmtId="165" fontId="18" fillId="0" borderId="0" xfId="1" applyNumberFormat="1" applyFont="1" applyAlignment="1">
      <alignment horizontal="center" vertical="center"/>
    </xf>
    <xf numFmtId="165" fontId="18" fillId="0" borderId="10" xfId="1" applyNumberFormat="1" applyFont="1" applyBorder="1" applyAlignment="1">
      <alignment vertical="center"/>
    </xf>
    <xf numFmtId="14" fontId="18" fillId="0" borderId="10" xfId="1" applyNumberFormat="1" applyFont="1" applyBorder="1" applyAlignment="1">
      <alignment vertical="center"/>
    </xf>
    <xf numFmtId="0" fontId="20" fillId="2" borderId="1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7" fontId="0" fillId="0" borderId="0" xfId="0" applyNumberFormat="1"/>
    <xf numFmtId="170" fontId="18" fillId="0" borderId="10" xfId="1" applyNumberFormat="1" applyFont="1" applyFill="1" applyBorder="1" applyAlignment="1">
      <alignment vertical="center"/>
    </xf>
    <xf numFmtId="167" fontId="23" fillId="12" borderId="6" xfId="0" applyNumberFormat="1" applyFont="1" applyFill="1" applyBorder="1" applyAlignment="1">
      <alignment horizontal="center" vertical="center"/>
    </xf>
    <xf numFmtId="0" fontId="22" fillId="12" borderId="9" xfId="0" applyFont="1" applyFill="1" applyBorder="1" applyAlignment="1">
      <alignment horizontal="left" wrapText="1" readingOrder="1"/>
    </xf>
    <xf numFmtId="0" fontId="2" fillId="12" borderId="6" xfId="0" applyFont="1" applyFill="1" applyBorder="1" applyAlignment="1">
      <alignment horizontal="left"/>
    </xf>
    <xf numFmtId="167" fontId="2" fillId="12" borderId="6" xfId="0" applyNumberFormat="1" applyFont="1" applyFill="1" applyBorder="1" applyAlignment="1">
      <alignment horizontal="center"/>
    </xf>
    <xf numFmtId="9" fontId="2" fillId="12" borderId="6" xfId="4" applyFont="1" applyFill="1" applyBorder="1" applyAlignment="1">
      <alignment horizontal="right"/>
    </xf>
    <xf numFmtId="167" fontId="24" fillId="12" borderId="6" xfId="0" applyNumberFormat="1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 vertical="center" wrapText="1"/>
    </xf>
    <xf numFmtId="169" fontId="2" fillId="12" borderId="6" xfId="0" applyNumberFormat="1" applyFont="1" applyFill="1" applyBorder="1" applyAlignment="1">
      <alignment horizontal="center"/>
    </xf>
    <xf numFmtId="169" fontId="24" fillId="12" borderId="6" xfId="0" applyNumberFormat="1" applyFont="1" applyFill="1" applyBorder="1" applyAlignment="1">
      <alignment horizontal="center"/>
    </xf>
    <xf numFmtId="0" fontId="2" fillId="13" borderId="0" xfId="0" applyFont="1" applyFill="1" applyAlignment="1">
      <alignment horizontal="center" vertical="center"/>
    </xf>
    <xf numFmtId="165" fontId="2" fillId="13" borderId="0" xfId="1" applyNumberFormat="1" applyFont="1" applyFill="1"/>
    <xf numFmtId="0" fontId="2" fillId="12" borderId="6" xfId="0" applyFont="1" applyFill="1" applyBorder="1" applyAlignment="1">
      <alignment horizontal="center" vertical="center" wrapText="1"/>
    </xf>
    <xf numFmtId="167" fontId="22" fillId="12" borderId="6" xfId="0" applyNumberFormat="1" applyFont="1" applyFill="1" applyBorder="1" applyAlignment="1">
      <alignment horizontal="center" wrapText="1"/>
    </xf>
    <xf numFmtId="0" fontId="22" fillId="12" borderId="6" xfId="0" applyFont="1" applyFill="1" applyBorder="1" applyAlignment="1">
      <alignment horizontal="center" wrapText="1"/>
    </xf>
    <xf numFmtId="0" fontId="0" fillId="7" borderId="0" xfId="0" applyFill="1"/>
    <xf numFmtId="167" fontId="0" fillId="0" borderId="0" xfId="1" applyNumberFormat="1" applyFont="1"/>
    <xf numFmtId="169" fontId="0" fillId="0" borderId="0" xfId="0" applyNumberFormat="1"/>
    <xf numFmtId="9" fontId="0" fillId="0" borderId="6" xfId="4" applyFont="1" applyFill="1" applyBorder="1"/>
    <xf numFmtId="167" fontId="3" fillId="0" borderId="0" xfId="0" applyNumberFormat="1" applyFont="1"/>
    <xf numFmtId="43" fontId="3" fillId="0" borderId="0" xfId="0" applyNumberFormat="1" applyFont="1"/>
    <xf numFmtId="10" fontId="26" fillId="0" borderId="0" xfId="0" applyNumberFormat="1" applyFont="1"/>
    <xf numFmtId="49" fontId="2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0" fillId="0" borderId="0" xfId="1" applyNumberFormat="1" applyFont="1" applyFill="1"/>
    <xf numFmtId="0" fontId="3" fillId="0" borderId="0" xfId="0" applyFont="1" applyAlignment="1">
      <alignment horizontal="center" vertical="center" wrapText="1"/>
    </xf>
    <xf numFmtId="9" fontId="0" fillId="0" borderId="0" xfId="4" applyFont="1" applyFill="1" applyBorder="1"/>
    <xf numFmtId="0" fontId="0" fillId="0" borderId="0" xfId="0" applyAlignment="1">
      <alignment horizontal="center"/>
    </xf>
    <xf numFmtId="169" fontId="0" fillId="0" borderId="6" xfId="3" applyNumberFormat="1" applyFont="1" applyFill="1" applyBorder="1"/>
    <xf numFmtId="167" fontId="0" fillId="0" borderId="0" xfId="0" applyNumberFormat="1" applyAlignment="1">
      <alignment horizontal="center"/>
    </xf>
    <xf numFmtId="169" fontId="3" fillId="0" borderId="6" xfId="3" applyNumberFormat="1" applyFont="1" applyFill="1" applyBorder="1"/>
    <xf numFmtId="0" fontId="3" fillId="4" borderId="0" xfId="0" applyFont="1" applyFill="1" applyAlignment="1">
      <alignment horizontal="center" vertical="center"/>
    </xf>
    <xf numFmtId="167" fontId="0" fillId="0" borderId="0" xfId="0" pivotButton="1" applyNumberFormat="1" applyAlignment="1">
      <alignment horizontal="center"/>
    </xf>
    <xf numFmtId="0" fontId="0" fillId="18" borderId="0" xfId="0" applyFill="1"/>
    <xf numFmtId="0" fontId="29" fillId="18" borderId="0" xfId="0" applyFont="1" applyFill="1"/>
    <xf numFmtId="0" fontId="29" fillId="0" borderId="0" xfId="0" applyFont="1"/>
    <xf numFmtId="172" fontId="18" fillId="0" borderId="10" xfId="1" applyNumberFormat="1" applyFont="1" applyBorder="1" applyAlignment="1">
      <alignment vertical="center"/>
    </xf>
    <xf numFmtId="173" fontId="3" fillId="5" borderId="0" xfId="0" applyNumberFormat="1" applyFont="1" applyFill="1"/>
    <xf numFmtId="0" fontId="16" fillId="20" borderId="6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167" fontId="3" fillId="0" borderId="0" xfId="1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173" fontId="0" fillId="0" borderId="0" xfId="0" applyNumberFormat="1"/>
    <xf numFmtId="0" fontId="4" fillId="7" borderId="0" xfId="0" applyFont="1" applyFill="1"/>
    <xf numFmtId="0" fontId="34" fillId="7" borderId="0" xfId="0" applyFont="1" applyFill="1"/>
    <xf numFmtId="0" fontId="31" fillId="23" borderId="0" xfId="0" applyFont="1" applyFill="1" applyAlignment="1">
      <alignment horizontal="center" vertical="center"/>
    </xf>
    <xf numFmtId="0" fontId="31" fillId="22" borderId="0" xfId="0" applyFont="1" applyFill="1" applyAlignment="1">
      <alignment horizontal="center" vertical="center"/>
    </xf>
    <xf numFmtId="0" fontId="36" fillId="19" borderId="0" xfId="0" applyFont="1" applyFill="1" applyAlignment="1">
      <alignment horizontal="center"/>
    </xf>
    <xf numFmtId="0" fontId="31" fillId="0" borderId="0" xfId="0" applyFont="1"/>
    <xf numFmtId="0" fontId="30" fillId="2" borderId="1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5" fontId="29" fillId="0" borderId="0" xfId="1" applyNumberFormat="1" applyFont="1" applyBorder="1"/>
    <xf numFmtId="165" fontId="31" fillId="0" borderId="0" xfId="6" applyNumberFormat="1" applyFont="1" applyBorder="1"/>
    <xf numFmtId="41" fontId="29" fillId="0" borderId="0" xfId="2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173" fontId="32" fillId="0" borderId="10" xfId="1" applyNumberFormat="1" applyFont="1" applyBorder="1" applyAlignment="1">
      <alignment horizontal="center" vertical="center"/>
    </xf>
    <xf numFmtId="173" fontId="38" fillId="11" borderId="10" xfId="1" applyNumberFormat="1" applyFont="1" applyFill="1" applyBorder="1" applyAlignment="1">
      <alignment horizontal="center"/>
    </xf>
    <xf numFmtId="9" fontId="32" fillId="0" borderId="10" xfId="4" applyFont="1" applyBorder="1" applyAlignment="1">
      <alignment horizontal="center" vertical="center"/>
    </xf>
    <xf numFmtId="0" fontId="29" fillId="7" borderId="0" xfId="0" applyFont="1" applyFill="1"/>
    <xf numFmtId="0" fontId="31" fillId="7" borderId="0" xfId="0" applyFont="1" applyFill="1" applyAlignment="1">
      <alignment horizontal="right"/>
    </xf>
    <xf numFmtId="167" fontId="33" fillId="0" borderId="0" xfId="0" applyNumberFormat="1" applyFont="1" applyAlignment="1">
      <alignment horizontal="center"/>
    </xf>
    <xf numFmtId="0" fontId="3" fillId="0" borderId="6" xfId="0" applyFont="1" applyBorder="1"/>
    <xf numFmtId="0" fontId="0" fillId="0" borderId="14" xfId="0" applyBorder="1"/>
    <xf numFmtId="0" fontId="3" fillId="0" borderId="0" xfId="0" applyFont="1" applyAlignment="1">
      <alignment horizontal="center"/>
    </xf>
    <xf numFmtId="167" fontId="0" fillId="0" borderId="0" xfId="1" applyNumberFormat="1" applyFont="1" applyFill="1" applyAlignment="1">
      <alignment horizontal="center"/>
    </xf>
    <xf numFmtId="9" fontId="0" fillId="9" borderId="0" xfId="4" applyFont="1" applyFill="1"/>
    <xf numFmtId="0" fontId="0" fillId="0" borderId="0" xfId="0" pivotButton="1"/>
    <xf numFmtId="167" fontId="0" fillId="0" borderId="0" xfId="0" pivotButton="1" applyNumberFormat="1"/>
    <xf numFmtId="0" fontId="0" fillId="0" borderId="3" xfId="0" applyBorder="1"/>
    <xf numFmtId="173" fontId="0" fillId="0" borderId="3" xfId="0" applyNumberFormat="1" applyBorder="1"/>
    <xf numFmtId="0" fontId="20" fillId="2" borderId="1" xfId="5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7" fontId="20" fillId="2" borderId="1" xfId="1" applyNumberFormat="1" applyFont="1" applyFill="1" applyBorder="1" applyAlignment="1">
      <alignment horizontal="center" vertical="center" wrapText="1"/>
    </xf>
    <xf numFmtId="0" fontId="0" fillId="7" borderId="3" xfId="0" applyFill="1" applyBorder="1"/>
    <xf numFmtId="167" fontId="0" fillId="7" borderId="3" xfId="1" applyNumberFormat="1" applyFont="1" applyFill="1" applyBorder="1"/>
    <xf numFmtId="171" fontId="0" fillId="9" borderId="3" xfId="3" applyNumberFormat="1" applyFont="1" applyFill="1" applyBorder="1"/>
    <xf numFmtId="0" fontId="4" fillId="2" borderId="3" xfId="0" applyFont="1" applyFill="1" applyBorder="1" applyAlignment="1">
      <alignment horizontal="center" vertical="center"/>
    </xf>
    <xf numFmtId="170" fontId="18" fillId="0" borderId="0" xfId="0" applyNumberFormat="1" applyFont="1"/>
    <xf numFmtId="0" fontId="4" fillId="2" borderId="18" xfId="0" applyFont="1" applyFill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0" borderId="18" xfId="0" applyFont="1" applyBorder="1"/>
    <xf numFmtId="170" fontId="18" fillId="11" borderId="18" xfId="1" applyNumberFormat="1" applyFont="1" applyFill="1" applyBorder="1" applyAlignment="1">
      <alignment vertical="center"/>
    </xf>
    <xf numFmtId="168" fontId="0" fillId="0" borderId="18" xfId="4" applyNumberFormat="1" applyFont="1" applyBorder="1"/>
    <xf numFmtId="173" fontId="3" fillId="0" borderId="3" xfId="0" applyNumberFormat="1" applyFont="1" applyBorder="1"/>
    <xf numFmtId="0" fontId="4" fillId="2" borderId="19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165" fontId="18" fillId="0" borderId="3" xfId="1" applyNumberFormat="1" applyFont="1" applyBorder="1" applyAlignment="1">
      <alignment vertical="center"/>
    </xf>
    <xf numFmtId="168" fontId="0" fillId="0" borderId="3" xfId="4" applyNumberFormat="1" applyFont="1" applyBorder="1"/>
    <xf numFmtId="9" fontId="0" fillId="0" borderId="3" xfId="0" applyNumberFormat="1" applyBorder="1"/>
    <xf numFmtId="9" fontId="42" fillId="0" borderId="0" xfId="0" applyNumberFormat="1" applyFont="1" applyAlignment="1">
      <alignment horizontal="center"/>
    </xf>
    <xf numFmtId="9" fontId="42" fillId="0" borderId="0" xfId="0" applyNumberFormat="1" applyFont="1" applyAlignment="1">
      <alignment horizontal="center" vertical="center"/>
    </xf>
    <xf numFmtId="9" fontId="42" fillId="4" borderId="0" xfId="0" applyNumberFormat="1" applyFont="1" applyFill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173" fontId="44" fillId="7" borderId="0" xfId="0" applyNumberFormat="1" applyFont="1" applyFill="1" applyAlignment="1">
      <alignment horizontal="right"/>
    </xf>
    <xf numFmtId="0" fontId="0" fillId="7" borderId="0" xfId="0" applyFill="1" applyAlignment="1">
      <alignment horizontal="right"/>
    </xf>
    <xf numFmtId="173" fontId="43" fillId="7" borderId="0" xfId="0" applyNumberFormat="1" applyFont="1" applyFill="1" applyAlignment="1">
      <alignment horizontal="right"/>
    </xf>
    <xf numFmtId="173" fontId="45" fillId="7" borderId="0" xfId="0" applyNumberFormat="1" applyFont="1" applyFill="1" applyAlignment="1">
      <alignment horizontal="right"/>
    </xf>
    <xf numFmtId="173" fontId="46" fillId="7" borderId="0" xfId="0" applyNumberFormat="1" applyFont="1" applyFill="1" applyAlignment="1">
      <alignment horizontal="right"/>
    </xf>
    <xf numFmtId="0" fontId="47" fillId="19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3" fontId="0" fillId="0" borderId="0" xfId="1" applyFont="1"/>
    <xf numFmtId="167" fontId="31" fillId="0" borderId="15" xfId="0" applyNumberFormat="1" applyFont="1" applyBorder="1" applyAlignment="1">
      <alignment horizontal="center"/>
    </xf>
    <xf numFmtId="167" fontId="3" fillId="0" borderId="17" xfId="0" applyNumberFormat="1" applyFont="1" applyBorder="1" applyAlignment="1">
      <alignment horizontal="center"/>
    </xf>
    <xf numFmtId="0" fontId="48" fillId="3" borderId="0" xfId="0" applyFont="1" applyFill="1" applyAlignment="1">
      <alignment horizontal="center" vertical="center"/>
    </xf>
    <xf numFmtId="0" fontId="49" fillId="18" borderId="0" xfId="0" applyFont="1" applyFill="1"/>
    <xf numFmtId="167" fontId="2" fillId="19" borderId="17" xfId="0" applyNumberFormat="1" applyFont="1" applyFill="1" applyBorder="1" applyAlignment="1">
      <alignment horizontal="center" vertical="center"/>
    </xf>
    <xf numFmtId="167" fontId="14" fillId="19" borderId="17" xfId="0" applyNumberFormat="1" applyFont="1" applyFill="1" applyBorder="1" applyAlignment="1">
      <alignment horizontal="center" vertical="center"/>
    </xf>
    <xf numFmtId="167" fontId="2" fillId="19" borderId="17" xfId="0" applyNumberFormat="1" applyFont="1" applyFill="1" applyBorder="1" applyAlignment="1">
      <alignment horizontal="center" vertical="center" wrapText="1"/>
    </xf>
    <xf numFmtId="167" fontId="2" fillId="2" borderId="17" xfId="0" applyNumberFormat="1" applyFont="1" applyFill="1" applyBorder="1" applyAlignment="1">
      <alignment horizontal="center" vertical="center"/>
    </xf>
    <xf numFmtId="167" fontId="28" fillId="0" borderId="17" xfId="0" applyNumberFormat="1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167" fontId="0" fillId="0" borderId="17" xfId="0" applyNumberFormat="1" applyBorder="1" applyAlignment="1">
      <alignment horizontal="center"/>
    </xf>
    <xf numFmtId="167" fontId="0" fillId="16" borderId="17" xfId="0" applyNumberFormat="1" applyFill="1" applyBorder="1" applyAlignment="1">
      <alignment horizontal="center"/>
    </xf>
    <xf numFmtId="167" fontId="50" fillId="16" borderId="17" xfId="0" applyNumberFormat="1" applyFont="1" applyFill="1" applyBorder="1" applyAlignment="1">
      <alignment horizontal="center"/>
    </xf>
    <xf numFmtId="167" fontId="3" fillId="25" borderId="17" xfId="0" applyNumberFormat="1" applyFont="1" applyFill="1" applyBorder="1" applyAlignment="1">
      <alignment horizontal="center"/>
    </xf>
    <xf numFmtId="167" fontId="50" fillId="0" borderId="17" xfId="0" applyNumberFormat="1" applyFont="1" applyBorder="1" applyAlignment="1">
      <alignment horizontal="center"/>
    </xf>
    <xf numFmtId="167" fontId="50" fillId="0" borderId="17" xfId="1" applyNumberFormat="1" applyFont="1" applyBorder="1" applyAlignment="1">
      <alignment horizontal="center"/>
    </xf>
    <xf numFmtId="9" fontId="50" fillId="0" borderId="17" xfId="4" applyFont="1" applyBorder="1" applyAlignment="1">
      <alignment horizontal="center"/>
    </xf>
    <xf numFmtId="9" fontId="0" fillId="0" borderId="0" xfId="0" applyNumberFormat="1"/>
    <xf numFmtId="0" fontId="2" fillId="24" borderId="3" xfId="0" applyFont="1" applyFill="1" applyBorder="1" applyAlignment="1">
      <alignment horizontal="center"/>
    </xf>
    <xf numFmtId="166" fontId="2" fillId="24" borderId="3" xfId="0" applyNumberFormat="1" applyFont="1" applyFill="1" applyBorder="1"/>
    <xf numFmtId="167" fontId="27" fillId="19" borderId="15" xfId="0" applyNumberFormat="1" applyFont="1" applyFill="1" applyBorder="1" applyAlignment="1">
      <alignment horizontal="center" vertical="center"/>
    </xf>
    <xf numFmtId="167" fontId="27" fillId="19" borderId="15" xfId="0" applyNumberFormat="1" applyFont="1" applyFill="1" applyBorder="1" applyAlignment="1">
      <alignment horizontal="center" vertical="center" wrapText="1"/>
    </xf>
    <xf numFmtId="167" fontId="27" fillId="2" borderId="16" xfId="0" applyNumberFormat="1" applyFont="1" applyFill="1" applyBorder="1" applyAlignment="1">
      <alignment horizontal="center" vertical="center"/>
    </xf>
    <xf numFmtId="167" fontId="50" fillId="0" borderId="15" xfId="0" applyNumberFormat="1" applyFont="1" applyBorder="1" applyAlignment="1">
      <alignment horizontal="center"/>
    </xf>
    <xf numFmtId="14" fontId="0" fillId="0" borderId="0" xfId="0" applyNumberFormat="1"/>
    <xf numFmtId="167" fontId="51" fillId="0" borderId="0" xfId="1" applyNumberFormat="1" applyFont="1" applyAlignment="1"/>
    <xf numFmtId="43" fontId="3" fillId="0" borderId="0" xfId="1" applyFont="1" applyAlignment="1">
      <alignment horizontal="center" vertical="center" wrapText="1"/>
    </xf>
    <xf numFmtId="43" fontId="3" fillId="0" borderId="0" xfId="1" applyFont="1"/>
    <xf numFmtId="167" fontId="0" fillId="9" borderId="0" xfId="1" applyNumberFormat="1" applyFont="1" applyFill="1"/>
    <xf numFmtId="167" fontId="0" fillId="0" borderId="0" xfId="1" quotePrefix="1" applyNumberFormat="1" applyFont="1" applyFill="1" applyAlignment="1">
      <alignment horizontal="center"/>
    </xf>
    <xf numFmtId="167" fontId="31" fillId="0" borderId="21" xfId="0" applyNumberFormat="1" applyFont="1" applyBorder="1" applyAlignment="1">
      <alignment horizontal="center"/>
    </xf>
    <xf numFmtId="167" fontId="50" fillId="0" borderId="16" xfId="0" applyNumberFormat="1" applyFont="1" applyBorder="1" applyAlignment="1">
      <alignment horizontal="center"/>
    </xf>
    <xf numFmtId="167" fontId="50" fillId="0" borderId="21" xfId="0" applyNumberFormat="1" applyFont="1" applyBorder="1" applyAlignment="1">
      <alignment horizontal="center"/>
    </xf>
    <xf numFmtId="43" fontId="0" fillId="0" borderId="0" xfId="0" applyNumberFormat="1"/>
    <xf numFmtId="167" fontId="18" fillId="0" borderId="0" xfId="1" applyNumberFormat="1" applyFont="1"/>
    <xf numFmtId="165" fontId="3" fillId="7" borderId="0" xfId="1" applyNumberFormat="1" applyFont="1" applyFill="1" applyBorder="1" applyAlignment="1">
      <alignment vertical="center"/>
    </xf>
    <xf numFmtId="0" fontId="15" fillId="7" borderId="0" xfId="0" applyFont="1" applyFill="1" applyAlignment="1">
      <alignment horizontal="centerContinuous"/>
    </xf>
    <xf numFmtId="165" fontId="15" fillId="7" borderId="0" xfId="1" applyNumberFormat="1" applyFont="1" applyFill="1" applyBorder="1" applyAlignment="1">
      <alignment horizontal="centerContinuous"/>
    </xf>
    <xf numFmtId="165" fontId="0" fillId="7" borderId="0" xfId="1" applyNumberFormat="1" applyFont="1" applyFill="1" applyBorder="1"/>
    <xf numFmtId="0" fontId="2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/>
    </xf>
    <xf numFmtId="170" fontId="18" fillId="7" borderId="0" xfId="1" applyNumberFormat="1" applyFont="1" applyFill="1" applyBorder="1" applyAlignment="1">
      <alignment vertical="center"/>
    </xf>
    <xf numFmtId="0" fontId="18" fillId="7" borderId="0" xfId="0" applyFont="1" applyFill="1"/>
    <xf numFmtId="0" fontId="19" fillId="7" borderId="0" xfId="0" applyFont="1" applyFill="1"/>
    <xf numFmtId="170" fontId="19" fillId="7" borderId="0" xfId="1" applyNumberFormat="1" applyFont="1" applyFill="1" applyBorder="1"/>
    <xf numFmtId="43" fontId="18" fillId="0" borderId="0" xfId="1" applyFont="1"/>
    <xf numFmtId="174" fontId="18" fillId="0" borderId="10" xfId="1" applyNumberFormat="1" applyFont="1" applyBorder="1" applyAlignment="1">
      <alignment vertical="center"/>
    </xf>
    <xf numFmtId="10" fontId="0" fillId="0" borderId="0" xfId="4" applyNumberFormat="1" applyFont="1"/>
    <xf numFmtId="0" fontId="27" fillId="27" borderId="6" xfId="0" applyFont="1" applyFill="1" applyBorder="1" applyAlignment="1">
      <alignment horizontal="center" vertical="center"/>
    </xf>
    <xf numFmtId="167" fontId="27" fillId="27" borderId="6" xfId="1" applyNumberFormat="1" applyFont="1" applyFill="1" applyBorder="1" applyAlignment="1">
      <alignment horizontal="center" vertical="center"/>
    </xf>
    <xf numFmtId="0" fontId="27" fillId="27" borderId="6" xfId="0" applyFont="1" applyFill="1" applyBorder="1" applyAlignment="1">
      <alignment horizontal="center" vertical="center" wrapText="1"/>
    </xf>
    <xf numFmtId="0" fontId="27" fillId="28" borderId="6" xfId="0" applyFont="1" applyFill="1" applyBorder="1" applyAlignment="1">
      <alignment horizontal="center" vertical="center"/>
    </xf>
    <xf numFmtId="167" fontId="27" fillId="28" borderId="6" xfId="1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 applyAlignment="1">
      <alignment horizontal="right"/>
    </xf>
    <xf numFmtId="0" fontId="54" fillId="0" borderId="0" xfId="0" applyFont="1" applyAlignment="1">
      <alignment horizontal="left"/>
    </xf>
    <xf numFmtId="0" fontId="54" fillId="0" borderId="0" xfId="0" applyFont="1"/>
    <xf numFmtId="14" fontId="54" fillId="0" borderId="0" xfId="0" applyNumberFormat="1" applyFont="1"/>
    <xf numFmtId="167" fontId="54" fillId="0" borderId="0" xfId="1" applyNumberFormat="1" applyFont="1" applyFill="1" applyBorder="1"/>
    <xf numFmtId="0" fontId="0" fillId="0" borderId="0" xfId="17" applyNumberFormat="1" applyFont="1" applyFill="1"/>
    <xf numFmtId="43" fontId="54" fillId="0" borderId="0" xfId="1" applyFont="1" applyFill="1" applyBorder="1"/>
    <xf numFmtId="0" fontId="0" fillId="29" borderId="0" xfId="0" applyFill="1"/>
    <xf numFmtId="0" fontId="1" fillId="0" borderId="0" xfId="17" applyNumberFormat="1" applyFont="1" applyFill="1"/>
    <xf numFmtId="0" fontId="55" fillId="0" borderId="0" xfId="0" applyFont="1" applyAlignment="1">
      <alignment horizontal="right"/>
    </xf>
    <xf numFmtId="0" fontId="55" fillId="0" borderId="0" xfId="0" applyFont="1" applyAlignment="1">
      <alignment horizontal="left"/>
    </xf>
    <xf numFmtId="0" fontId="55" fillId="0" borderId="0" xfId="0" applyFont="1"/>
    <xf numFmtId="0" fontId="26" fillId="0" borderId="0" xfId="1" applyNumberFormat="1" applyFont="1" applyFill="1" applyAlignment="1">
      <alignment wrapText="1"/>
    </xf>
    <xf numFmtId="0" fontId="26" fillId="0" borderId="0" xfId="0" applyFont="1"/>
    <xf numFmtId="0" fontId="55" fillId="16" borderId="0" xfId="0" applyFont="1" applyFill="1" applyAlignment="1">
      <alignment horizontal="right"/>
    </xf>
    <xf numFmtId="0" fontId="55" fillId="16" borderId="0" xfId="0" applyFont="1" applyFill="1" applyAlignment="1">
      <alignment horizontal="left"/>
    </xf>
    <xf numFmtId="0" fontId="55" fillId="16" borderId="0" xfId="0" applyFont="1" applyFill="1"/>
    <xf numFmtId="14" fontId="54" fillId="16" borderId="0" xfId="0" applyNumberFormat="1" applyFont="1" applyFill="1"/>
    <xf numFmtId="0" fontId="54" fillId="16" borderId="0" xfId="0" applyFont="1" applyFill="1"/>
    <xf numFmtId="0" fontId="26" fillId="16" borderId="0" xfId="1" applyNumberFormat="1" applyFont="1" applyFill="1" applyAlignment="1">
      <alignment wrapText="1"/>
    </xf>
    <xf numFmtId="0" fontId="0" fillId="16" borderId="0" xfId="0" applyFill="1"/>
    <xf numFmtId="0" fontId="1" fillId="16" borderId="0" xfId="17" applyNumberFormat="1" applyFont="1" applyFill="1"/>
    <xf numFmtId="0" fontId="26" fillId="16" borderId="0" xfId="0" applyFont="1" applyFill="1"/>
    <xf numFmtId="14" fontId="54" fillId="26" borderId="0" xfId="0" applyNumberFormat="1" applyFont="1" applyFill="1"/>
    <xf numFmtId="0" fontId="52" fillId="0" borderId="0" xfId="0" applyFont="1" applyAlignment="1">
      <alignment horizontal="center"/>
    </xf>
    <xf numFmtId="14" fontId="52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14" fontId="55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7" fontId="26" fillId="0" borderId="0" xfId="0" applyNumberFormat="1" applyFont="1" applyAlignment="1">
      <alignment horizontal="center"/>
    </xf>
    <xf numFmtId="167" fontId="26" fillId="4" borderId="0" xfId="0" applyNumberFormat="1" applyFont="1" applyFill="1" applyAlignment="1">
      <alignment horizontal="center"/>
    </xf>
    <xf numFmtId="14" fontId="0" fillId="0" borderId="0" xfId="1" quotePrefix="1" applyNumberFormat="1" applyFont="1" applyFill="1" applyAlignment="1">
      <alignment horizontal="center"/>
    </xf>
    <xf numFmtId="167" fontId="1" fillId="0" borderId="0" xfId="1" quotePrefix="1" applyNumberFormat="1" applyFont="1" applyFill="1" applyAlignment="1">
      <alignment horizontal="center"/>
    </xf>
    <xf numFmtId="0" fontId="34" fillId="0" borderId="0" xfId="0" applyFont="1"/>
    <xf numFmtId="9" fontId="34" fillId="0" borderId="0" xfId="4" applyFont="1" applyFill="1"/>
    <xf numFmtId="9" fontId="34" fillId="0" borderId="0" xfId="0" applyNumberFormat="1" applyFont="1"/>
    <xf numFmtId="0" fontId="34" fillId="0" borderId="0" xfId="0" applyFont="1" applyAlignment="1">
      <alignment horizontal="right"/>
    </xf>
    <xf numFmtId="0" fontId="34" fillId="0" borderId="0" xfId="0" applyFont="1" applyAlignment="1">
      <alignment horizontal="center"/>
    </xf>
    <xf numFmtId="167" fontId="34" fillId="0" borderId="0" xfId="1" applyNumberFormat="1" applyFont="1" applyFill="1"/>
    <xf numFmtId="1" fontId="34" fillId="0" borderId="0" xfId="0" applyNumberFormat="1" applyFont="1"/>
    <xf numFmtId="9" fontId="38" fillId="11" borderId="10" xfId="4" applyFont="1" applyFill="1" applyBorder="1" applyAlignment="1">
      <alignment horizontal="center"/>
    </xf>
    <xf numFmtId="0" fontId="19" fillId="0" borderId="0" xfId="0" applyFont="1"/>
    <xf numFmtId="167" fontId="0" fillId="0" borderId="24" xfId="1" applyNumberFormat="1" applyFont="1" applyFill="1" applyBorder="1"/>
    <xf numFmtId="165" fontId="2" fillId="2" borderId="6" xfId="1" applyNumberFormat="1" applyFont="1" applyFill="1" applyBorder="1" applyAlignment="1">
      <alignment horizontal="center"/>
    </xf>
    <xf numFmtId="167" fontId="3" fillId="0" borderId="0" xfId="1" applyNumberFormat="1" applyFont="1" applyFill="1"/>
    <xf numFmtId="0" fontId="2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14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7" fontId="2" fillId="2" borderId="0" xfId="1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7" fontId="0" fillId="0" borderId="3" xfId="1" applyNumberFormat="1" applyFont="1" applyBorder="1"/>
    <xf numFmtId="14" fontId="0" fillId="0" borderId="3" xfId="0" applyNumberFormat="1" applyBorder="1"/>
    <xf numFmtId="17" fontId="0" fillId="0" borderId="3" xfId="0" applyNumberFormat="1" applyBorder="1"/>
    <xf numFmtId="14" fontId="56" fillId="0" borderId="0" xfId="0" applyNumberFormat="1" applyFont="1"/>
    <xf numFmtId="167" fontId="0" fillId="0" borderId="25" xfId="1" applyNumberFormat="1" applyFont="1" applyBorder="1"/>
    <xf numFmtId="14" fontId="0" fillId="0" borderId="25" xfId="0" applyNumberFormat="1" applyBorder="1"/>
    <xf numFmtId="17" fontId="0" fillId="0" borderId="25" xfId="0" applyNumberFormat="1" applyBorder="1"/>
    <xf numFmtId="167" fontId="0" fillId="0" borderId="18" xfId="1" applyNumberFormat="1" applyFont="1" applyBorder="1"/>
    <xf numFmtId="14" fontId="0" fillId="0" borderId="18" xfId="0" applyNumberFormat="1" applyBorder="1"/>
    <xf numFmtId="17" fontId="0" fillId="0" borderId="18" xfId="0" applyNumberFormat="1" applyBorder="1"/>
    <xf numFmtId="14" fontId="0" fillId="0" borderId="18" xfId="0" applyNumberFormat="1" applyBorder="1" applyAlignment="1">
      <alignment vertical="center"/>
    </xf>
    <xf numFmtId="167" fontId="0" fillId="30" borderId="18" xfId="1" applyNumberFormat="1" applyFont="1" applyFill="1" applyBorder="1"/>
    <xf numFmtId="167" fontId="0" fillId="30" borderId="3" xfId="1" applyNumberFormat="1" applyFont="1" applyFill="1" applyBorder="1"/>
    <xf numFmtId="167" fontId="0" fillId="0" borderId="3" xfId="1" applyNumberFormat="1" applyFont="1" applyFill="1" applyBorder="1"/>
    <xf numFmtId="167" fontId="3" fillId="0" borderId="3" xfId="1" applyNumberFormat="1" applyFont="1" applyFill="1" applyBorder="1"/>
    <xf numFmtId="167" fontId="2" fillId="31" borderId="3" xfId="1" applyNumberFormat="1" applyFont="1" applyFill="1" applyBorder="1"/>
    <xf numFmtId="167" fontId="4" fillId="31" borderId="3" xfId="1" applyNumberFormat="1" applyFont="1" applyFill="1" applyBorder="1"/>
    <xf numFmtId="165" fontId="0" fillId="32" borderId="0" xfId="1" applyNumberFormat="1" applyFont="1" applyFill="1" applyBorder="1"/>
    <xf numFmtId="165" fontId="0" fillId="32" borderId="0" xfId="0" applyNumberFormat="1" applyFill="1"/>
    <xf numFmtId="166" fontId="3" fillId="32" borderId="0" xfId="3" applyNumberFormat="1" applyFont="1" applyFill="1"/>
    <xf numFmtId="0" fontId="0" fillId="32" borderId="0" xfId="0" applyFill="1"/>
    <xf numFmtId="165" fontId="0" fillId="32" borderId="0" xfId="1" applyNumberFormat="1" applyFont="1" applyFill="1"/>
    <xf numFmtId="43" fontId="10" fillId="0" borderId="6" xfId="1" applyFont="1" applyFill="1" applyBorder="1" applyAlignment="1"/>
    <xf numFmtId="167" fontId="26" fillId="0" borderId="0" xfId="1" applyNumberFormat="1" applyFont="1" applyAlignment="1">
      <alignment horizontal="center"/>
    </xf>
    <xf numFmtId="0" fontId="26" fillId="4" borderId="0" xfId="0" applyFont="1" applyFill="1" applyAlignment="1">
      <alignment horizontal="center"/>
    </xf>
    <xf numFmtId="14" fontId="27" fillId="27" borderId="6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3" fillId="26" borderId="20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3" fillId="0" borderId="26" xfId="0" applyFont="1" applyBorder="1"/>
    <xf numFmtId="168" fontId="0" fillId="0" borderId="19" xfId="4" applyNumberFormat="1" applyFont="1" applyBorder="1"/>
    <xf numFmtId="0" fontId="4" fillId="2" borderId="27" xfId="0" applyFont="1" applyFill="1" applyBorder="1" applyAlignment="1">
      <alignment horizontal="center" vertical="center"/>
    </xf>
    <xf numFmtId="0" fontId="2" fillId="24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4" borderId="29" xfId="0" applyFont="1" applyFill="1" applyBorder="1" applyAlignment="1">
      <alignment horizontal="center" vertical="center"/>
    </xf>
    <xf numFmtId="0" fontId="3" fillId="0" borderId="30" xfId="0" applyFont="1" applyBorder="1"/>
    <xf numFmtId="170" fontId="18" fillId="11" borderId="31" xfId="1" applyNumberFormat="1" applyFont="1" applyFill="1" applyBorder="1" applyAlignment="1">
      <alignment vertical="center"/>
    </xf>
    <xf numFmtId="168" fontId="0" fillId="0" borderId="31" xfId="4" applyNumberFormat="1" applyFont="1" applyBorder="1"/>
    <xf numFmtId="168" fontId="0" fillId="0" borderId="32" xfId="4" applyNumberFormat="1" applyFont="1" applyBorder="1"/>
    <xf numFmtId="0" fontId="2" fillId="17" borderId="33" xfId="0" applyFont="1" applyFill="1" applyBorder="1" applyAlignment="1">
      <alignment horizontal="center" vertical="center"/>
    </xf>
    <xf numFmtId="168" fontId="0" fillId="0" borderId="33" xfId="4" applyNumberFormat="1" applyFont="1" applyBorder="1"/>
    <xf numFmtId="9" fontId="0" fillId="0" borderId="33" xfId="0" applyNumberFormat="1" applyBorder="1"/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165" fontId="19" fillId="0" borderId="11" xfId="1" applyNumberFormat="1" applyFont="1" applyBorder="1" applyAlignment="1">
      <alignment vertical="center"/>
    </xf>
    <xf numFmtId="172" fontId="18" fillId="0" borderId="11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18" fillId="0" borderId="0" xfId="1" applyNumberFormat="1" applyFont="1" applyFill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9" fontId="18" fillId="0" borderId="0" xfId="4" applyFont="1" applyBorder="1" applyAlignment="1">
      <alignment horizontal="center" vertical="center"/>
    </xf>
    <xf numFmtId="170" fontId="18" fillId="6" borderId="11" xfId="1" applyNumberFormat="1" applyFont="1" applyFill="1" applyBorder="1" applyAlignment="1">
      <alignment horizontal="center" vertical="center"/>
    </xf>
    <xf numFmtId="170" fontId="18" fillId="6" borderId="12" xfId="1" applyNumberFormat="1" applyFont="1" applyFill="1" applyBorder="1" applyAlignment="1">
      <alignment horizontal="center" vertical="center"/>
    </xf>
    <xf numFmtId="170" fontId="18" fillId="6" borderId="13" xfId="1" applyNumberFormat="1" applyFont="1" applyFill="1" applyBorder="1" applyAlignment="1">
      <alignment horizontal="center" vertical="center"/>
    </xf>
    <xf numFmtId="9" fontId="18" fillId="0" borderId="11" xfId="4" applyFont="1" applyBorder="1" applyAlignment="1">
      <alignment horizontal="center" vertical="center"/>
    </xf>
    <xf numFmtId="9" fontId="18" fillId="0" borderId="12" xfId="4" applyFont="1" applyBorder="1" applyAlignment="1">
      <alignment horizontal="center" vertical="center"/>
    </xf>
    <xf numFmtId="9" fontId="18" fillId="0" borderId="13" xfId="4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12" borderId="6" xfId="0" applyFont="1" applyFill="1" applyBorder="1" applyAlignment="1">
      <alignment horizontal="center" vertical="center" wrapText="1"/>
    </xf>
    <xf numFmtId="167" fontId="22" fillId="12" borderId="6" xfId="0" applyNumberFormat="1" applyFont="1" applyFill="1" applyBorder="1" applyAlignment="1">
      <alignment horizontal="center" wrapText="1"/>
    </xf>
    <xf numFmtId="0" fontId="22" fillId="12" borderId="6" xfId="0" applyFont="1" applyFill="1" applyBorder="1" applyAlignment="1">
      <alignment horizontal="center" wrapText="1"/>
    </xf>
    <xf numFmtId="0" fontId="22" fillId="12" borderId="7" xfId="0" applyFont="1" applyFill="1" applyBorder="1" applyAlignment="1">
      <alignment horizontal="center" vertical="center" wrapText="1"/>
    </xf>
    <xf numFmtId="0" fontId="22" fillId="12" borderId="8" xfId="0" applyFont="1" applyFill="1" applyBorder="1" applyAlignment="1">
      <alignment horizontal="center" vertical="center" wrapText="1"/>
    </xf>
    <xf numFmtId="0" fontId="22" fillId="12" borderId="6" xfId="0" applyFont="1" applyFill="1" applyBorder="1" applyAlignment="1">
      <alignment horizontal="center" vertical="center" wrapText="1"/>
    </xf>
    <xf numFmtId="0" fontId="37" fillId="7" borderId="6" xfId="0" applyFont="1" applyFill="1" applyBorder="1" applyAlignment="1">
      <alignment horizontal="center" vertical="center" wrapText="1"/>
    </xf>
    <xf numFmtId="173" fontId="37" fillId="7" borderId="6" xfId="0" applyNumberFormat="1" applyFont="1" applyFill="1" applyBorder="1" applyAlignment="1">
      <alignment horizontal="center" vertical="center"/>
    </xf>
    <xf numFmtId="9" fontId="37" fillId="7" borderId="6" xfId="4" applyFont="1" applyFill="1" applyBorder="1" applyAlignment="1">
      <alignment horizontal="center" vertical="center"/>
    </xf>
    <xf numFmtId="0" fontId="40" fillId="16" borderId="0" xfId="0" applyFont="1" applyFill="1" applyAlignment="1">
      <alignment horizontal="center"/>
    </xf>
    <xf numFmtId="9" fontId="41" fillId="16" borderId="0" xfId="4" applyFont="1" applyFill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9" fillId="19" borderId="0" xfId="0" applyFont="1" applyFill="1" applyAlignment="1">
      <alignment horizontal="center" vertical="center"/>
    </xf>
    <xf numFmtId="0" fontId="30" fillId="2" borderId="22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3" fillId="26" borderId="20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</cellXfs>
  <cellStyles count="18">
    <cellStyle name="Millares" xfId="1" builtinId="3"/>
    <cellStyle name="Millares [0]" xfId="2" builtinId="6"/>
    <cellStyle name="Millares 2" xfId="6" xr:uid="{00000000-0005-0000-0000-000002000000}"/>
    <cellStyle name="Millares 2 13 2 2" xfId="17" xr:uid="{00000000-0005-0000-0000-000003000000}"/>
    <cellStyle name="Millares 3" xfId="8" xr:uid="{00000000-0005-0000-0000-000004000000}"/>
    <cellStyle name="Moneda" xfId="3" builtinId="4"/>
    <cellStyle name="Normal" xfId="0" builtinId="0"/>
    <cellStyle name="Normal 2" xfId="5" xr:uid="{00000000-0005-0000-0000-000007000000}"/>
    <cellStyle name="Normal 2 2" xfId="10" xr:uid="{00000000-0005-0000-0000-000008000000}"/>
    <cellStyle name="Normal 2 3" xfId="12" xr:uid="{00000000-0005-0000-0000-000009000000}"/>
    <cellStyle name="Normal 2 4" xfId="13" xr:uid="{00000000-0005-0000-0000-00000A000000}"/>
    <cellStyle name="Normal 2 5" xfId="9" xr:uid="{00000000-0005-0000-0000-00000B000000}"/>
    <cellStyle name="Normal 3" xfId="14" xr:uid="{00000000-0005-0000-0000-00000C000000}"/>
    <cellStyle name="Normal 4" xfId="7" xr:uid="{00000000-0005-0000-0000-00000D000000}"/>
    <cellStyle name="Porcentaje" xfId="4" builtinId="5"/>
    <cellStyle name="Porcentaje 2" xfId="15" xr:uid="{00000000-0005-0000-0000-00000F000000}"/>
    <cellStyle name="Porcentaje 3" xfId="16" xr:uid="{00000000-0005-0000-0000-000010000000}"/>
    <cellStyle name="s1" xfId="11" xr:uid="{00000000-0005-0000-0000-000011000000}"/>
  </cellStyles>
  <dxfs count="4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3" formatCode="&quot;$&quot;\ #,##0,,&quot;M&quot;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73" formatCode="&quot;$&quot;\ #,##0,,&quot;M&quot;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 val="0"/>
      </font>
    </dxf>
    <dxf>
      <fill>
        <patternFill>
          <bgColor rgb="FF00206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sz val="10"/>
      </font>
    </dxf>
    <dxf>
      <font>
        <name val="OPEN SAINS"/>
        <scheme val="none"/>
      </font>
    </dxf>
    <dxf>
      <font>
        <b/>
      </font>
    </dxf>
    <dxf>
      <alignment wrapText="1" readingOrder="0"/>
    </dxf>
    <dxf>
      <font>
        <color auto="1"/>
      </font>
    </dxf>
    <dxf>
      <fill>
        <patternFill>
          <bgColor theme="9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fill>
        <patternFill patternType="solid">
          <bgColor theme="8" tint="-0.499984740745262"/>
        </patternFill>
      </fill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14993743705557422"/>
        </top>
        <bottom/>
        <vertical/>
        <horizontal/>
      </border>
    </dxf>
    <dxf>
      <border outline="0">
        <right style="thin">
          <color theme="0" tint="-0.149967955565050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border diagonalUp="0" diagonalDown="0"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0" formatCode="#,##0.0,,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0" formatCode="#,##0.0,,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0" formatCode="#,##0.0,,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0" formatCode="#,##0.0,,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border outline="0">
        <top style="thin">
          <color theme="0" tint="-0.14993743705557422"/>
        </top>
      </border>
    </dxf>
    <dxf>
      <border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0" tint="-0.149937437055574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73" formatCode="&quot;$&quot;\ #,##0,,&quot;M&quot;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3" formatCode="&quot;$&quot;\ #,##0,,&quot;M&quot;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</font>
      <numFmt numFmtId="173" formatCode="&quot;$&quot;\ #,##0,,&quot;M&quot;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17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2" formatCode="#,##0,,"/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top style="thin">
          <color indexed="64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numFmt numFmtId="35" formatCode="_-* #,##0.00_-;\-* #,##0.00_-;_-* &quot;-&quot;??_-;_-@_-"/>
    </dxf>
    <dxf>
      <numFmt numFmtId="13" formatCode="0%"/>
    </dxf>
    <dxf>
      <font>
        <b/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u val="none"/>
        <sz val="8"/>
        <color theme="1"/>
      </font>
      <fill>
        <patternFill>
          <bgColor rgb="FFFFFFFF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u val="none"/>
        <sz val="8"/>
        <color theme="1"/>
      </font>
      <fill>
        <patternFill>
          <bgColor rgb="FFFFFFFF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8" tint="-0.499984740745262"/>
        </patternFill>
      </fill>
    </dxf>
  </dxfs>
  <tableStyles count="3" defaultTableStyle="TableStyleMedium2" defaultPivotStyle="PivotStyleLight16">
    <tableStyle name="Estilo de tabla dinámica 1" table="0" count="1" xr9:uid="{00000000-0011-0000-FFFF-FFFF00000000}">
      <tableStyleElement type="wholeTable" dxfId="444"/>
    </tableStyle>
    <tableStyle name="mi estilo 1" pivot="0" table="0" count="10" xr9:uid="{00000000-0011-0000-FFFF-FFFF01000000}">
      <tableStyleElement type="wholeTable" dxfId="443"/>
      <tableStyleElement type="headerRow" dxfId="442"/>
    </tableStyle>
    <tableStyle name="mi estilo 1 2" pivot="0" table="0" count="10" xr9:uid="{00000000-0011-0000-FFFF-FFFF02000000}">
      <tableStyleElement type="wholeTable" dxfId="441"/>
      <tableStyleElement type="headerRow" dxfId="440"/>
    </tableStyle>
  </tableStyles>
  <colors>
    <mruColors>
      <color rgb="FF5053D8"/>
      <color rgb="FFFF5B5B"/>
      <color rgb="FF6B5AE8"/>
      <color rgb="FFCC0000"/>
      <color rgb="FFAA9AF8"/>
      <color rgb="FF6260C8"/>
      <color rgb="FF685AEC"/>
      <color rgb="FF6D79EF"/>
      <color rgb="FF6C7CF4"/>
      <color rgb="FF5F62DB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4F4A82"/>
              <bgColor rgb="FF7973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4F4A82"/>
              <bgColor rgb="FF7973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 estilo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i estilo 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[09. Cartera Incapacidades a 09-2025 2.xlsx]Nuevo Modelo2!TablaDinámica1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Modelo2'!$D$120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Modelo2'!$C$121:$C$127</c:f>
              <c:strCache>
                <c:ptCount val="7"/>
                <c:pt idx="0">
                  <c:v>MARZO 2025</c:v>
                </c:pt>
                <c:pt idx="1">
                  <c:v>ABRIL 2025</c:v>
                </c:pt>
                <c:pt idx="2">
                  <c:v>MAYO 2025</c:v>
                </c:pt>
                <c:pt idx="3">
                  <c:v>JUNIO 2025</c:v>
                </c:pt>
                <c:pt idx="4">
                  <c:v>JULIO 2025</c:v>
                </c:pt>
                <c:pt idx="5">
                  <c:v>AGOSTO 2025</c:v>
                </c:pt>
                <c:pt idx="6">
                  <c:v>SEPTIEMBRE 2025</c:v>
                </c:pt>
              </c:strCache>
            </c:strRef>
          </c:cat>
          <c:val>
            <c:numRef>
              <c:f>'Nuevo Modelo2'!$D$121:$D$127</c:f>
              <c:numCache>
                <c:formatCode>"$"\ #,##0,,"M"</c:formatCode>
                <c:ptCount val="7"/>
                <c:pt idx="0">
                  <c:v>226734437</c:v>
                </c:pt>
                <c:pt idx="1">
                  <c:v>172548411</c:v>
                </c:pt>
                <c:pt idx="2">
                  <c:v>281386638</c:v>
                </c:pt>
                <c:pt idx="3">
                  <c:v>219874012</c:v>
                </c:pt>
                <c:pt idx="4">
                  <c:v>297209276</c:v>
                </c:pt>
                <c:pt idx="5">
                  <c:v>160786555</c:v>
                </c:pt>
                <c:pt idx="6">
                  <c:v>297209276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A-4BFF-9D05-AEFE6981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613647"/>
        <c:axId val="1873610319"/>
      </c:barChart>
      <c:catAx>
        <c:axId val="18736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3610319"/>
        <c:crosses val="autoZero"/>
        <c:auto val="1"/>
        <c:lblAlgn val="ctr"/>
        <c:lblOffset val="100"/>
        <c:noMultiLvlLbl val="0"/>
      </c:catAx>
      <c:valAx>
        <c:axId val="18736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36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C0-42C7-B64B-0916F43931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C0-42C7-B64B-0916F43931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C0-42C7-B64B-0916F43931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'Nuevo Modelo2'!$C$151:$E$151</c:f>
              <c:strCache>
                <c:ptCount val="3"/>
                <c:pt idx="0">
                  <c:v>V Recuperados.</c:v>
                </c:pt>
                <c:pt idx="1">
                  <c:v>En recuperacion.</c:v>
                </c:pt>
                <c:pt idx="2">
                  <c:v>Castigado.</c:v>
                </c:pt>
              </c:strCache>
            </c:strRef>
          </c:cat>
          <c:val>
            <c:numRef>
              <c:f>'Nuevo Modelo2'!$C$152:$E$152</c:f>
              <c:numCache>
                <c:formatCode>"$"\ #,##0,,"M"</c:formatCode>
                <c:ptCount val="3"/>
                <c:pt idx="0">
                  <c:v>8686694811</c:v>
                </c:pt>
                <c:pt idx="1">
                  <c:v>1467717280</c:v>
                </c:pt>
                <c:pt idx="2">
                  <c:v>481744069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B-4850-962B-97FF49ACE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660761154855645E-2"/>
          <c:y val="0.82291557305336838"/>
          <c:w val="0.89890069991251098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Modelo2'!$D$178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Modelo2'!$C$179:$C$186</c:f>
              <c:strCache>
                <c:ptCount val="8"/>
                <c:pt idx="0">
                  <c:v>SANITAS</c:v>
                </c:pt>
                <c:pt idx="1">
                  <c:v>EPS SURA (ANTES SUSALUD)</c:v>
                </c:pt>
                <c:pt idx="2">
                  <c:v>NUEVA E.P.S.</c:v>
                </c:pt>
                <c:pt idx="3">
                  <c:v>FAMISANAR</c:v>
                </c:pt>
                <c:pt idx="4">
                  <c:v>COMPENSAR</c:v>
                </c:pt>
                <c:pt idx="5">
                  <c:v>MEDIMAS EPS</c:v>
                </c:pt>
                <c:pt idx="6">
                  <c:v>COOMEVA</c:v>
                </c:pt>
                <c:pt idx="7">
                  <c:v>EMSSANAR</c:v>
                </c:pt>
              </c:strCache>
            </c:strRef>
          </c:cat>
          <c:val>
            <c:numRef>
              <c:f>'Nuevo Modelo2'!$D$179:$D$186</c:f>
              <c:numCache>
                <c:formatCode>"$"\ #,##0,,"M"</c:formatCode>
                <c:ptCount val="8"/>
                <c:pt idx="0">
                  <c:v>345646332</c:v>
                </c:pt>
                <c:pt idx="1">
                  <c:v>216308538</c:v>
                </c:pt>
                <c:pt idx="2">
                  <c:v>121341879</c:v>
                </c:pt>
                <c:pt idx="3">
                  <c:v>143469868</c:v>
                </c:pt>
                <c:pt idx="4">
                  <c:v>50850241</c:v>
                </c:pt>
                <c:pt idx="5">
                  <c:v>19582331</c:v>
                </c:pt>
                <c:pt idx="6">
                  <c:v>17814953</c:v>
                </c:pt>
                <c:pt idx="7">
                  <c:v>8131800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C-4C53-A208-0A3CF68E8882}"/>
            </c:ext>
          </c:extLst>
        </c:ser>
        <c:ser>
          <c:idx val="1"/>
          <c:order val="1"/>
          <c:tx>
            <c:strRef>
              <c:f>'Nuevo Modelo2'!$E$178</c:f>
              <c:strCache>
                <c:ptCount val="1"/>
                <c:pt idx="0">
                  <c:v>VALOR PROVISIONADO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 Modelo2'!$C$179:$C$186</c:f>
              <c:strCache>
                <c:ptCount val="8"/>
                <c:pt idx="0">
                  <c:v>SANITAS</c:v>
                </c:pt>
                <c:pt idx="1">
                  <c:v>EPS SURA (ANTES SUSALUD)</c:v>
                </c:pt>
                <c:pt idx="2">
                  <c:v>NUEVA E.P.S.</c:v>
                </c:pt>
                <c:pt idx="3">
                  <c:v>FAMISANAR</c:v>
                </c:pt>
                <c:pt idx="4">
                  <c:v>COMPENSAR</c:v>
                </c:pt>
                <c:pt idx="5">
                  <c:v>MEDIMAS EPS</c:v>
                </c:pt>
                <c:pt idx="6">
                  <c:v>COOMEVA</c:v>
                </c:pt>
                <c:pt idx="7">
                  <c:v>EMSSANAR</c:v>
                </c:pt>
              </c:strCache>
            </c:strRef>
          </c:cat>
          <c:val>
            <c:numRef>
              <c:f>'Nuevo Modelo2'!$E$179:$E$186</c:f>
              <c:numCache>
                <c:formatCode>"$"\ #,##0,,"M"</c:formatCode>
                <c:ptCount val="8"/>
                <c:pt idx="0">
                  <c:v>311081698.80000001</c:v>
                </c:pt>
                <c:pt idx="1">
                  <c:v>194677684.20000002</c:v>
                </c:pt>
                <c:pt idx="2">
                  <c:v>109207691.10000001</c:v>
                </c:pt>
                <c:pt idx="3">
                  <c:v>129122881.2</c:v>
                </c:pt>
                <c:pt idx="4">
                  <c:v>45765216.899999999</c:v>
                </c:pt>
                <c:pt idx="5">
                  <c:v>17624097.900000002</c:v>
                </c:pt>
                <c:pt idx="6">
                  <c:v>16033457.700000001</c:v>
                </c:pt>
                <c:pt idx="7">
                  <c:v>7318620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C-4C53-A208-0A3CF68E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025151"/>
        <c:axId val="2036029311"/>
      </c:barChart>
      <c:catAx>
        <c:axId val="20360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029311"/>
        <c:crosses val="autoZero"/>
        <c:auto val="1"/>
        <c:lblAlgn val="ctr"/>
        <c:lblOffset val="100"/>
        <c:noMultiLvlLbl val="0"/>
      </c:catAx>
      <c:valAx>
        <c:axId val="203602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0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[09. Cartera Incapacidades a 09-2025 2.xlsx]Nuevo Modelo2!TablaDinámica2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'Nuevo Modelo2'!$D$193:$D$194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'Nuevo Modelo2'!$C$195:$C$206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'Nuevo Modelo2'!$D$195:$D$206</c:f>
              <c:numCache>
                <c:formatCode>"$"\ #,##0,,"M"</c:formatCode>
                <c:ptCount val="12"/>
                <c:pt idx="0">
                  <c:v>209115251</c:v>
                </c:pt>
                <c:pt idx="1">
                  <c:v>224465967</c:v>
                </c:pt>
                <c:pt idx="2">
                  <c:v>132441051</c:v>
                </c:pt>
                <c:pt idx="3">
                  <c:v>180618914</c:v>
                </c:pt>
                <c:pt idx="4">
                  <c:v>155720180</c:v>
                </c:pt>
                <c:pt idx="5">
                  <c:v>183485112</c:v>
                </c:pt>
                <c:pt idx="6">
                  <c:v>120355167</c:v>
                </c:pt>
                <c:pt idx="7">
                  <c:v>171035337</c:v>
                </c:pt>
                <c:pt idx="8">
                  <c:v>160077011</c:v>
                </c:pt>
                <c:pt idx="9">
                  <c:v>176112958</c:v>
                </c:pt>
                <c:pt idx="10">
                  <c:v>252645629</c:v>
                </c:pt>
                <c:pt idx="11">
                  <c:v>176319295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E-4BE3-9A93-A6D5503282CF}"/>
            </c:ext>
          </c:extLst>
        </c:ser>
        <c:ser>
          <c:idx val="1"/>
          <c:order val="1"/>
          <c:tx>
            <c:strRef>
              <c:f>'Nuevo Modelo2'!$E$193:$E$194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'Nuevo Modelo2'!$C$195:$C$206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'Nuevo Modelo2'!$E$195:$E$206</c:f>
              <c:numCache>
                <c:formatCode>"$"\ #,##0,,"M"</c:formatCode>
                <c:ptCount val="12"/>
                <c:pt idx="0">
                  <c:v>293135847</c:v>
                </c:pt>
                <c:pt idx="1">
                  <c:v>199258218</c:v>
                </c:pt>
                <c:pt idx="2">
                  <c:v>226734437</c:v>
                </c:pt>
                <c:pt idx="3">
                  <c:v>172548411</c:v>
                </c:pt>
                <c:pt idx="4">
                  <c:v>281386638</c:v>
                </c:pt>
                <c:pt idx="5">
                  <c:v>219874012</c:v>
                </c:pt>
                <c:pt idx="6">
                  <c:v>297209276</c:v>
                </c:pt>
                <c:pt idx="7">
                  <c:v>160786555</c:v>
                </c:pt>
                <c:pt idx="8">
                  <c:v>295802141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92-4673-BA20-6259F60A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683567"/>
        <c:axId val="658692303"/>
      </c:lineChart>
      <c:catAx>
        <c:axId val="6586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8692303"/>
        <c:crosses val="autoZero"/>
        <c:auto val="1"/>
        <c:lblAlgn val="ctr"/>
        <c:lblOffset val="100"/>
        <c:noMultiLvlLbl val="0"/>
      </c:catAx>
      <c:valAx>
        <c:axId val="6586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86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Modelo2'!$E$225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Modelo2'!$D$226:$D$227</c:f>
              <c:strCache>
                <c:ptCount val="2"/>
                <c:pt idx="0">
                  <c:v> Cartera </c:v>
                </c:pt>
                <c:pt idx="1">
                  <c:v> Recaudo </c:v>
                </c:pt>
              </c:strCache>
            </c:strRef>
          </c:cat>
          <c:val>
            <c:numRef>
              <c:f>'Nuevo Modelo2'!$E$226:$E$227</c:f>
              <c:numCache>
                <c:formatCode>"$"\ #,##0,,"M"</c:formatCode>
                <c:ptCount val="2"/>
                <c:pt idx="0">
                  <c:v>1441637977</c:v>
                </c:pt>
                <c:pt idx="1">
                  <c:v>1059549230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D-47DB-8B48-957AD2E3B7E3}"/>
            </c:ext>
          </c:extLst>
        </c:ser>
        <c:ser>
          <c:idx val="1"/>
          <c:order val="1"/>
          <c:tx>
            <c:strRef>
              <c:f>'Nuevo Modelo2'!$F$225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 Modelo2'!$D$226:$D$227</c:f>
              <c:strCache>
                <c:ptCount val="2"/>
                <c:pt idx="0">
                  <c:v> Cartera </c:v>
                </c:pt>
                <c:pt idx="1">
                  <c:v> Recaudo </c:v>
                </c:pt>
              </c:strCache>
            </c:strRef>
          </c:cat>
          <c:val>
            <c:numRef>
              <c:f>'Nuevo Modelo2'!$F$226:$F$227</c:f>
              <c:numCache>
                <c:formatCode>"$"\ #,##0,,"M"</c:formatCode>
                <c:ptCount val="2"/>
                <c:pt idx="0">
                  <c:v>1412815123</c:v>
                </c:pt>
                <c:pt idx="1">
                  <c:v>1799118835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D-47DB-8B48-957AD2E3B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097151"/>
        <c:axId val="926099231"/>
      </c:barChart>
      <c:catAx>
        <c:axId val="9260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6099231"/>
        <c:crosses val="autoZero"/>
        <c:auto val="1"/>
        <c:lblAlgn val="ctr"/>
        <c:lblOffset val="100"/>
        <c:noMultiLvlLbl val="0"/>
      </c:catAx>
      <c:valAx>
        <c:axId val="9260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60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'Nuevo Modelo2'!#REF!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'Nuevo Modelo2'!#REF!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14D-455E-96B2-B978FDD0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728319"/>
        <c:axId val="1665728735"/>
      </c:lineChart>
      <c:catAx>
        <c:axId val="166572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728735"/>
        <c:crosses val="autoZero"/>
        <c:auto val="1"/>
        <c:lblAlgn val="ctr"/>
        <c:lblOffset val="100"/>
        <c:noMultiLvlLbl val="0"/>
      </c:catAx>
      <c:valAx>
        <c:axId val="16657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72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[09. Cartera Incapacidades a 09-2025 2.xlsx]Nuevo Modelo2!TablaDinámica1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6B5AE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6B5AE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OPEN SAINS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B5AE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B5AE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3.7188688984049645E-2"/>
          <c:w val="0.83160274111753774"/>
          <c:h val="0.88023699399612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'Nuevo Modelo2'!$D$120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sq">
                <a:solidFill>
                  <a:srgbClr val="6B5AE8"/>
                </a:solidFill>
                <a:prstDash val="sysDot"/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'Nuevo Modelo2'!$C$121:$C$127</c:f>
              <c:strCache>
                <c:ptCount val="7"/>
                <c:pt idx="0">
                  <c:v>MARZO 2025</c:v>
                </c:pt>
                <c:pt idx="1">
                  <c:v>ABRIL 2025</c:v>
                </c:pt>
                <c:pt idx="2">
                  <c:v>MAYO 2025</c:v>
                </c:pt>
                <c:pt idx="3">
                  <c:v>JUNIO 2025</c:v>
                </c:pt>
                <c:pt idx="4">
                  <c:v>JULIO 2025</c:v>
                </c:pt>
                <c:pt idx="5">
                  <c:v>AGOSTO 2025</c:v>
                </c:pt>
                <c:pt idx="6">
                  <c:v>SEPTIEMBRE 2025</c:v>
                </c:pt>
              </c:strCache>
            </c:strRef>
          </c:cat>
          <c:val>
            <c:numRef>
              <c:f>'Nuevo Modelo2'!$D$121:$D$127</c:f>
              <c:numCache>
                <c:formatCode>"$"\ #,##0,,"M"</c:formatCode>
                <c:ptCount val="7"/>
                <c:pt idx="0">
                  <c:v>226734437</c:v>
                </c:pt>
                <c:pt idx="1">
                  <c:v>172548411</c:v>
                </c:pt>
                <c:pt idx="2">
                  <c:v>281386638</c:v>
                </c:pt>
                <c:pt idx="3">
                  <c:v>219874012</c:v>
                </c:pt>
                <c:pt idx="4">
                  <c:v>297209276</c:v>
                </c:pt>
                <c:pt idx="5">
                  <c:v>160786555</c:v>
                </c:pt>
                <c:pt idx="6">
                  <c:v>297209276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B7-496B-8C19-A2A1EDD5D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613647"/>
        <c:axId val="1873610319"/>
      </c:barChart>
      <c:catAx>
        <c:axId val="18736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OPEN SAINS"/>
                <a:ea typeface="+mn-ea"/>
                <a:cs typeface="+mn-cs"/>
              </a:defRPr>
            </a:pPr>
            <a:endParaRPr lang="es-CO"/>
          </a:p>
        </c:txPr>
        <c:crossAx val="1873610319"/>
        <c:crosses val="autoZero"/>
        <c:auto val="1"/>
        <c:lblAlgn val="ctr"/>
        <c:lblOffset val="100"/>
        <c:noMultiLvlLbl val="0"/>
      </c:catAx>
      <c:valAx>
        <c:axId val="1873610319"/>
        <c:scaling>
          <c:orientation val="minMax"/>
        </c:scaling>
        <c:delete val="1"/>
        <c:axPos val="l"/>
        <c:numFmt formatCode="&quot;$&quot;\ #,##0,,&quot;M&quot;" sourceLinked="1"/>
        <c:majorTickMark val="none"/>
        <c:minorTickMark val="none"/>
        <c:tickLblPos val="nextTo"/>
        <c:crossAx val="187361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4B-40C0-A414-2F77A8D95DF9}"/>
              </c:ext>
            </c:extLst>
          </c:dPt>
          <c:dPt>
            <c:idx val="1"/>
            <c:bubble3D val="0"/>
            <c:spPr>
              <a:solidFill>
                <a:srgbClr val="6B5AE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4B-40C0-A414-2F77A8D95DF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4B-40C0-A414-2F77A8D95DF9}"/>
              </c:ext>
            </c:extLst>
          </c:dPt>
          <c:dLbls>
            <c:dLbl>
              <c:idx val="0"/>
              <c:layout>
                <c:manualLayout>
                  <c:x val="0.12137931034482759"/>
                  <c:y val="3.15789548467123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2060"/>
                      </a:solidFill>
                      <a:latin typeface="OPEN SAINS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29655172413795"/>
                      <c:h val="0.200436137691347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D4B-40C0-A414-2F77A8D95DF9}"/>
                </c:ext>
              </c:extLst>
            </c:dLbl>
            <c:dLbl>
              <c:idx val="1"/>
              <c:layout>
                <c:manualLayout>
                  <c:x val="-3.3103448275862167E-2"/>
                  <c:y val="-0.139849657178297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6B5AE8"/>
                      </a:solidFill>
                      <a:latin typeface="OPEN SAINS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4B-40C0-A414-2F77A8D95DF9}"/>
                </c:ext>
              </c:extLst>
            </c:dLbl>
            <c:dLbl>
              <c:idx val="2"/>
              <c:layout>
                <c:manualLayout>
                  <c:x val="0.1103448275862069"/>
                  <c:y val="-0.12180454012303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OPEN SAINS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4B-40C0-A414-2F77A8D95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OPEN SAINS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'Nuevo Modelo2'!$C$151:$E$151</c:f>
              <c:strCache>
                <c:ptCount val="3"/>
                <c:pt idx="0">
                  <c:v>V Recuperados.</c:v>
                </c:pt>
                <c:pt idx="1">
                  <c:v>En recuperacion.</c:v>
                </c:pt>
                <c:pt idx="2">
                  <c:v>Castigado.</c:v>
                </c:pt>
              </c:strCache>
            </c:strRef>
          </c:cat>
          <c:val>
            <c:numRef>
              <c:f>'Nuevo Modelo2'!$C$152:$E$152</c:f>
              <c:numCache>
                <c:formatCode>"$"\ #,##0,,"M"</c:formatCode>
                <c:ptCount val="3"/>
                <c:pt idx="0">
                  <c:v>8686694811</c:v>
                </c:pt>
                <c:pt idx="1">
                  <c:v>1467717280</c:v>
                </c:pt>
                <c:pt idx="2">
                  <c:v>481744069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4B-40C0-A414-2F77A8D95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660761154855645E-2"/>
          <c:y val="0.82291557305336838"/>
          <c:w val="0.89890069991251098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OPEN SAINS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Modelo2'!$D$178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OPEN SAINS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'Nuevo Modelo2'!$C$179:$C$186</c:f>
              <c:strCache>
                <c:ptCount val="8"/>
                <c:pt idx="0">
                  <c:v>SANITAS</c:v>
                </c:pt>
                <c:pt idx="1">
                  <c:v>EPS SURA (ANTES SUSALUD)</c:v>
                </c:pt>
                <c:pt idx="2">
                  <c:v>NUEVA E.P.S.</c:v>
                </c:pt>
                <c:pt idx="3">
                  <c:v>FAMISANAR</c:v>
                </c:pt>
                <c:pt idx="4">
                  <c:v>COMPENSAR</c:v>
                </c:pt>
                <c:pt idx="5">
                  <c:v>MEDIMAS EPS</c:v>
                </c:pt>
                <c:pt idx="6">
                  <c:v>COOMEVA</c:v>
                </c:pt>
                <c:pt idx="7">
                  <c:v>EMSSANAR</c:v>
                </c:pt>
              </c:strCache>
            </c:strRef>
          </c:cat>
          <c:val>
            <c:numRef>
              <c:f>'Nuevo Modelo2'!$D$179:$D$186</c:f>
              <c:numCache>
                <c:formatCode>"$"\ #,##0,,"M"</c:formatCode>
                <c:ptCount val="8"/>
                <c:pt idx="0">
                  <c:v>345646332</c:v>
                </c:pt>
                <c:pt idx="1">
                  <c:v>216308538</c:v>
                </c:pt>
                <c:pt idx="2">
                  <c:v>121341879</c:v>
                </c:pt>
                <c:pt idx="3">
                  <c:v>143469868</c:v>
                </c:pt>
                <c:pt idx="4">
                  <c:v>50850241</c:v>
                </c:pt>
                <c:pt idx="5">
                  <c:v>19582331</c:v>
                </c:pt>
                <c:pt idx="6">
                  <c:v>17814953</c:v>
                </c:pt>
                <c:pt idx="7">
                  <c:v>8131800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6-4547-9DC4-983F6343D9CC}"/>
            </c:ext>
          </c:extLst>
        </c:ser>
        <c:ser>
          <c:idx val="1"/>
          <c:order val="1"/>
          <c:tx>
            <c:strRef>
              <c:f>'Nuevo Modelo2'!$E$178</c:f>
              <c:strCache>
                <c:ptCount val="1"/>
                <c:pt idx="0">
                  <c:v>VALOR PROVISIONADO</c:v>
                </c:pt>
              </c:strCache>
            </c:strRef>
          </c:tx>
          <c:spPr>
            <a:solidFill>
              <a:srgbClr val="6B5AE8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712869967423275E-3"/>
                  <c:y val="-7.148656882763434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CB-4DC9-80D7-BB0B75272F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OPEN SAINS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'Nuevo Modelo2'!$C$179:$C$186</c:f>
              <c:strCache>
                <c:ptCount val="8"/>
                <c:pt idx="0">
                  <c:v>SANITAS</c:v>
                </c:pt>
                <c:pt idx="1">
                  <c:v>EPS SURA (ANTES SUSALUD)</c:v>
                </c:pt>
                <c:pt idx="2">
                  <c:v>NUEVA E.P.S.</c:v>
                </c:pt>
                <c:pt idx="3">
                  <c:v>FAMISANAR</c:v>
                </c:pt>
                <c:pt idx="4">
                  <c:v>COMPENSAR</c:v>
                </c:pt>
                <c:pt idx="5">
                  <c:v>MEDIMAS EPS</c:v>
                </c:pt>
                <c:pt idx="6">
                  <c:v>COOMEVA</c:v>
                </c:pt>
                <c:pt idx="7">
                  <c:v>EMSSANAR</c:v>
                </c:pt>
              </c:strCache>
            </c:strRef>
          </c:cat>
          <c:val>
            <c:numRef>
              <c:f>'Nuevo Modelo2'!$E$179:$E$186</c:f>
              <c:numCache>
                <c:formatCode>"$"\ #,##0,,"M"</c:formatCode>
                <c:ptCount val="8"/>
                <c:pt idx="0">
                  <c:v>311081698.80000001</c:v>
                </c:pt>
                <c:pt idx="1">
                  <c:v>194677684.20000002</c:v>
                </c:pt>
                <c:pt idx="2">
                  <c:v>109207691.10000001</c:v>
                </c:pt>
                <c:pt idx="3">
                  <c:v>129122881.2</c:v>
                </c:pt>
                <c:pt idx="4">
                  <c:v>45765216.899999999</c:v>
                </c:pt>
                <c:pt idx="5">
                  <c:v>17624097.900000002</c:v>
                </c:pt>
                <c:pt idx="6">
                  <c:v>16033457.700000001</c:v>
                </c:pt>
                <c:pt idx="7">
                  <c:v>7318620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6-4547-9DC4-983F6343D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5"/>
        <c:overlap val="-27"/>
        <c:axId val="2036025151"/>
        <c:axId val="2036029311"/>
      </c:barChart>
      <c:catAx>
        <c:axId val="20360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+mn-ea"/>
                <a:cs typeface="+mn-cs"/>
              </a:defRPr>
            </a:pPr>
            <a:endParaRPr lang="es-CO"/>
          </a:p>
        </c:txPr>
        <c:crossAx val="2036029311"/>
        <c:crosses val="autoZero"/>
        <c:auto val="1"/>
        <c:lblAlgn val="ctr"/>
        <c:lblOffset val="100"/>
        <c:noMultiLvlLbl val="0"/>
      </c:catAx>
      <c:valAx>
        <c:axId val="2036029311"/>
        <c:scaling>
          <c:orientation val="minMax"/>
        </c:scaling>
        <c:delete val="1"/>
        <c:axPos val="l"/>
        <c:numFmt formatCode="&quot;$&quot;\ #,##0,,&quot;M&quot;" sourceLinked="1"/>
        <c:majorTickMark val="none"/>
        <c:minorTickMark val="none"/>
        <c:tickLblPos val="nextTo"/>
        <c:crossAx val="20360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[09. Cartera Incapacidades a 09-2025 2.xlsx]Nuevo Modelo2!TablaDinámica2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19050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00206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002060"/>
              </a:solidFill>
            </a:ln>
            <a:effectLst/>
          </c:spPr>
        </c:marker>
        <c:dLbl>
          <c:idx val="0"/>
          <c:layout>
            <c:manualLayout>
              <c:x val="-7.860261468193689E-3"/>
              <c:y val="7.4999999999999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FF0000"/>
              </a:solidFill>
            </a:ln>
            <a:effectLst/>
          </c:spPr>
        </c:marker>
        <c:dLbl>
          <c:idx val="0"/>
          <c:layout>
            <c:manualLayout>
              <c:x val="-6.5502178901614555E-3"/>
              <c:y val="-0.104166666666666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002060"/>
              </a:solidFill>
            </a:ln>
            <a:effectLst/>
          </c:spPr>
        </c:marker>
        <c:dLbl>
          <c:idx val="0"/>
          <c:layout>
            <c:manualLayout>
              <c:x val="0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002060"/>
              </a:solidFill>
            </a:ln>
            <a:effectLst/>
          </c:spPr>
        </c:marker>
        <c:dLbl>
          <c:idx val="0"/>
          <c:layout>
            <c:manualLayout>
              <c:x val="-2.8820958716710195E-2"/>
              <c:y val="7.49999999999999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002060"/>
              </a:solidFill>
            </a:ln>
            <a:effectLst/>
          </c:spPr>
        </c:marker>
        <c:dLbl>
          <c:idx val="0"/>
          <c:layout>
            <c:manualLayout>
              <c:x val="-4.8034376297303072E-17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002060"/>
              </a:solidFill>
            </a:ln>
            <a:effectLst/>
          </c:spPr>
        </c:marker>
        <c:dLbl>
          <c:idx val="0"/>
          <c:layout>
            <c:manualLayout>
              <c:x val="0"/>
              <c:y val="-0.100000000000000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noFill/>
            <a:ln w="15875">
              <a:solidFill>
                <a:srgbClr val="FF0000"/>
              </a:solidFill>
            </a:ln>
            <a:effectLst/>
          </c:spPr>
        </c:marker>
        <c:dLbl>
          <c:idx val="0"/>
          <c:layout>
            <c:manualLayout>
              <c:x val="7.860261468193689E-3"/>
              <c:y val="7.49999999999999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3943653771359622E-3"/>
              <c:y val="-6.31579012803462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788730754271846E-2"/>
              <c:y val="7.50000077704110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0146820497791828E-3"/>
              <c:y val="-4.61269690222898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5.0734102488959138E-3"/>
              <c:y val="2.30634845111448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0440461493375483E-3"/>
              <c:y val="4.9970883107480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1027743484542794E-3"/>
              <c:y val="3.84391408519082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-1.9202435332481012E-2"/>
              <c:y val="-0.126708086927968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336039258312237E-3"/>
              <c:y val="9.3167710976447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73482159207173E-2"/>
              <c:y val="-8.571429409833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336039258312237E-3"/>
              <c:y val="5.59006265858684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706883140664979E-2"/>
              <c:y val="-0.134161503806084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5344157033248949E-3"/>
              <c:y val="8.9441002537389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3868425517902953E-2"/>
              <c:y val="7.8260877220215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706883140664979E-2"/>
              <c:y val="-0.134161503806084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73482159207173E-2"/>
              <c:y val="-8.571429409833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336039258312237E-3"/>
              <c:y val="5.59006265858684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3868425517902953E-2"/>
              <c:y val="7.8260877220215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5344157033248949E-3"/>
              <c:y val="8.9441002537389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1336039258312237E-3"/>
              <c:y val="9.3167710976447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706883140664979E-2"/>
              <c:y val="-0.134161503806084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73482159207173E-2"/>
              <c:y val="-8.571429409833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336039258312237E-3"/>
              <c:y val="5.59006265858684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3868425517902953E-2"/>
              <c:y val="7.82608772202158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5344157033248949E-3"/>
              <c:y val="8.94410025373895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2.1336039258312237E-3"/>
              <c:y val="9.3167710976447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960697248516503E-2"/>
          <c:y val="4.583333333333333E-2"/>
          <c:w val="0.88683822942349622"/>
          <c:h val="0.85750721784776907"/>
        </c:manualLayout>
      </c:layout>
      <c:lineChart>
        <c:grouping val="standard"/>
        <c:varyColors val="0"/>
        <c:ser>
          <c:idx val="0"/>
          <c:order val="0"/>
          <c:tx>
            <c:strRef>
              <c:f>'Nuevo Modelo2'!$D$193:$D$194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81C-4538-8587-FD34282E6C6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F1-49F0-9B18-D0AD84D36F1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81C-4538-8587-FD34282E6C6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F1-49F0-9B18-D0AD84D36F1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81C-4538-8587-FD34282E6C63}"/>
              </c:ext>
            </c:extLst>
          </c:dPt>
          <c:dLbls>
            <c:dLbl>
              <c:idx val="3"/>
              <c:layout>
                <c:manualLayout>
                  <c:x val="-1.706883140664979E-2"/>
                  <c:y val="-0.134161503806084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F1-49F0-9B18-D0AD84D36F12}"/>
                </c:ext>
              </c:extLst>
            </c:dLbl>
            <c:dLbl>
              <c:idx val="7"/>
              <c:layout>
                <c:manualLayout>
                  <c:x val="-1.173482159207173E-2"/>
                  <c:y val="-8.57142940983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F1-49F0-9B18-D0AD84D36F12}"/>
                </c:ext>
              </c:extLst>
            </c:dLbl>
            <c:dLbl>
              <c:idx val="8"/>
              <c:layout>
                <c:manualLayout>
                  <c:x val="-2.1336039258312237E-3"/>
                  <c:y val="5.59006265858684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1C-4538-8587-FD34282E6C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'Nuevo Modelo2'!$C$195:$C$206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'Nuevo Modelo2'!$D$195:$D$206</c:f>
              <c:numCache>
                <c:formatCode>"$"\ #,##0,,"M"</c:formatCode>
                <c:ptCount val="12"/>
                <c:pt idx="0">
                  <c:v>209115251</c:v>
                </c:pt>
                <c:pt idx="1">
                  <c:v>224465967</c:v>
                </c:pt>
                <c:pt idx="2">
                  <c:v>132441051</c:v>
                </c:pt>
                <c:pt idx="3">
                  <c:v>180618914</c:v>
                </c:pt>
                <c:pt idx="4">
                  <c:v>155720180</c:v>
                </c:pt>
                <c:pt idx="5">
                  <c:v>183485112</c:v>
                </c:pt>
                <c:pt idx="6">
                  <c:v>120355167</c:v>
                </c:pt>
                <c:pt idx="7">
                  <c:v>171035337</c:v>
                </c:pt>
                <c:pt idx="8">
                  <c:v>160077011</c:v>
                </c:pt>
                <c:pt idx="9">
                  <c:v>176112958</c:v>
                </c:pt>
                <c:pt idx="10">
                  <c:v>252645629</c:v>
                </c:pt>
                <c:pt idx="11">
                  <c:v>176319295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1-49F0-9B18-D0AD84D36F12}"/>
            </c:ext>
          </c:extLst>
        </c:ser>
        <c:ser>
          <c:idx val="1"/>
          <c:order val="1"/>
          <c:tx>
            <c:strRef>
              <c:f>'Nuevo Modelo2'!$E$193:$E$194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B44-49C5-A6FD-82D431A8B41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7B44-49C5-A6FD-82D431A8B41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10C-46C5-B0B1-4BE32E67CFD0}"/>
              </c:ext>
            </c:extLst>
          </c:dPt>
          <c:dLbls>
            <c:dLbl>
              <c:idx val="1"/>
              <c:layout>
                <c:manualLayout>
                  <c:x val="-1.3868425517902953E-2"/>
                  <c:y val="7.82608772202158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B44-49C5-A6FD-82D431A8B41F}"/>
                </c:ext>
              </c:extLst>
            </c:dLbl>
            <c:dLbl>
              <c:idx val="3"/>
              <c:layout>
                <c:manualLayout>
                  <c:x val="-8.5344157033248949E-3"/>
                  <c:y val="8.9441002537389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B44-49C5-A6FD-82D431A8B41F}"/>
                </c:ext>
              </c:extLst>
            </c:dLbl>
            <c:dLbl>
              <c:idx val="7"/>
              <c:layout>
                <c:manualLayout>
                  <c:x val="-2.1336039258312237E-3"/>
                  <c:y val="9.3167710976447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0C-46C5-B0B1-4BE32E67C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'Nuevo Modelo2'!$C$195:$C$206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'Nuevo Modelo2'!$E$195:$E$206</c:f>
              <c:numCache>
                <c:formatCode>"$"\ #,##0,,"M"</c:formatCode>
                <c:ptCount val="12"/>
                <c:pt idx="0">
                  <c:v>293135847</c:v>
                </c:pt>
                <c:pt idx="1">
                  <c:v>199258218</c:v>
                </c:pt>
                <c:pt idx="2">
                  <c:v>226734437</c:v>
                </c:pt>
                <c:pt idx="3">
                  <c:v>172548411</c:v>
                </c:pt>
                <c:pt idx="4">
                  <c:v>281386638</c:v>
                </c:pt>
                <c:pt idx="5">
                  <c:v>219874012</c:v>
                </c:pt>
                <c:pt idx="6">
                  <c:v>297209276</c:v>
                </c:pt>
                <c:pt idx="7">
                  <c:v>160786555</c:v>
                </c:pt>
                <c:pt idx="8">
                  <c:v>295802141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6C-4FFB-AF0B-B51818675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683567"/>
        <c:axId val="658692303"/>
      </c:lineChart>
      <c:catAx>
        <c:axId val="658683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ins"/>
                <a:ea typeface="+mn-ea"/>
                <a:cs typeface="+mn-cs"/>
              </a:defRPr>
            </a:pPr>
            <a:endParaRPr lang="es-CO"/>
          </a:p>
        </c:txPr>
        <c:crossAx val="658692303"/>
        <c:crosses val="autoZero"/>
        <c:auto val="1"/>
        <c:lblAlgn val="ctr"/>
        <c:lblOffset val="100"/>
        <c:noMultiLvlLbl val="0"/>
      </c:catAx>
      <c:valAx>
        <c:axId val="658692303"/>
        <c:scaling>
          <c:orientation val="minMax"/>
        </c:scaling>
        <c:delete val="1"/>
        <c:axPos val="l"/>
        <c:numFmt formatCode="&quot;$&quot;\ #,##0,,&quot;M&quot;" sourceLinked="1"/>
        <c:majorTickMark val="out"/>
        <c:minorTickMark val="none"/>
        <c:tickLblPos val="nextTo"/>
        <c:crossAx val="6586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06114458197958"/>
          <c:y val="7.1572945666488363E-2"/>
          <c:w val="6.595773916405244E-2"/>
          <c:h val="0.200010381269206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37696684229819"/>
          <c:y val="0.13838367931281315"/>
          <c:w val="0.75921337291854907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'Nuevo Modelo2'!$E$225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6B5AE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B5AE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F4C-4DE7-AF04-F888397F1174}"/>
              </c:ext>
            </c:extLst>
          </c:dPt>
          <c:dPt>
            <c:idx val="1"/>
            <c:invertIfNegative val="0"/>
            <c:bubble3D val="0"/>
            <c:spPr>
              <a:solidFill>
                <a:srgbClr val="6B5AE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C-4DE7-AF04-F888397F1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'Nuevo Modelo2'!$D$226:$D$227</c:f>
              <c:strCache>
                <c:ptCount val="2"/>
                <c:pt idx="0">
                  <c:v> Cartera </c:v>
                </c:pt>
                <c:pt idx="1">
                  <c:v> Recaudo </c:v>
                </c:pt>
              </c:strCache>
            </c:strRef>
          </c:cat>
          <c:val>
            <c:numRef>
              <c:f>'Nuevo Modelo2'!$E$226:$E$227</c:f>
              <c:numCache>
                <c:formatCode>"$"\ #,##0,,"M"</c:formatCode>
                <c:ptCount val="2"/>
                <c:pt idx="0">
                  <c:v>1441637977</c:v>
                </c:pt>
                <c:pt idx="1">
                  <c:v>1059549230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C-4DE7-AF04-F888397F1174}"/>
            </c:ext>
          </c:extLst>
        </c:ser>
        <c:ser>
          <c:idx val="1"/>
          <c:order val="1"/>
          <c:tx>
            <c:strRef>
              <c:f>'Nuevo Modelo2'!$F$225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622951496824963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ED-485A-8ED9-32C8FCFE8D7A}"/>
                </c:ext>
              </c:extLst>
            </c:dLbl>
            <c:dLbl>
              <c:idx val="1"/>
              <c:layout>
                <c:manualLayout>
                  <c:x val="2.295082559721831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ED-485A-8ED9-32C8FCFE8D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'Nuevo Modelo2'!$D$226:$D$227</c:f>
              <c:strCache>
                <c:ptCount val="2"/>
                <c:pt idx="0">
                  <c:v> Cartera </c:v>
                </c:pt>
                <c:pt idx="1">
                  <c:v> Recaudo </c:v>
                </c:pt>
              </c:strCache>
            </c:strRef>
          </c:cat>
          <c:val>
            <c:numRef>
              <c:f>'Nuevo Modelo2'!$F$226:$F$227</c:f>
              <c:numCache>
                <c:formatCode>"$"\ #,##0,,"M"</c:formatCode>
                <c:ptCount val="2"/>
                <c:pt idx="0">
                  <c:v>1412815123</c:v>
                </c:pt>
                <c:pt idx="1">
                  <c:v>1799118835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C-4DE7-AF04-F888397F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097151"/>
        <c:axId val="926099231"/>
      </c:barChart>
      <c:catAx>
        <c:axId val="9260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6099231"/>
        <c:crosses val="autoZero"/>
        <c:auto val="1"/>
        <c:lblAlgn val="ctr"/>
        <c:lblOffset val="100"/>
        <c:noMultiLvlLbl val="0"/>
      </c:catAx>
      <c:valAx>
        <c:axId val="926099231"/>
        <c:scaling>
          <c:orientation val="minMax"/>
        </c:scaling>
        <c:delete val="1"/>
        <c:axPos val="l"/>
        <c:numFmt formatCode="&quot;$&quot;\ #,##0,,&quot;M&quot;" sourceLinked="1"/>
        <c:majorTickMark val="none"/>
        <c:minorTickMark val="none"/>
        <c:tickLblPos val="nextTo"/>
        <c:crossAx val="9260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89648687143071"/>
          <c:y val="0.9232949196402277"/>
          <c:w val="0.25078749923941379"/>
          <c:h val="7.670508231925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831959769303274E-3"/>
          <c:y val="0.18768116066152227"/>
          <c:w val="0.97972350230414751"/>
          <c:h val="0.70066388558142412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6B5AE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ins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'Nuevo Modelo2'!$C$82:$C$88</c:f>
              <c:strCache>
                <c:ptCount val="7"/>
                <c:pt idx="0">
                  <c:v> MARZO 2025 </c:v>
                </c:pt>
                <c:pt idx="1">
                  <c:v> ABRIL 2025 </c:v>
                </c:pt>
                <c:pt idx="2">
                  <c:v> MAYO 2025 </c:v>
                </c:pt>
                <c:pt idx="3">
                  <c:v> JUNIO 2025 </c:v>
                </c:pt>
                <c:pt idx="4">
                  <c:v> JULIO 2025 </c:v>
                </c:pt>
                <c:pt idx="5">
                  <c:v>AGOSTO 2025</c:v>
                </c:pt>
                <c:pt idx="6">
                  <c:v>SEPTIEMBRE 2025</c:v>
                </c:pt>
              </c:strCache>
            </c:strRef>
          </c:cat>
          <c:val>
            <c:numRef>
              <c:f>'Nuevo Modelo2'!$L$82:$L$88</c:f>
              <c:numCache>
                <c:formatCode>"$"\ #,##0,,"M"</c:formatCode>
                <c:ptCount val="7"/>
                <c:pt idx="0">
                  <c:v>1437679025</c:v>
                </c:pt>
                <c:pt idx="1">
                  <c:v>1525494146</c:v>
                </c:pt>
                <c:pt idx="2">
                  <c:v>1499516292</c:v>
                </c:pt>
                <c:pt idx="3">
                  <c:v>1467717280</c:v>
                </c:pt>
                <c:pt idx="4">
                  <c:v>1400699685</c:v>
                </c:pt>
                <c:pt idx="5">
                  <c:v>1450984915</c:v>
                </c:pt>
                <c:pt idx="6">
                  <c:v>1412815123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C-43C3-A4C1-D240B846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728319"/>
        <c:axId val="1665728735"/>
      </c:lineChart>
      <c:catAx>
        <c:axId val="166572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728735"/>
        <c:crosses val="autoZero"/>
        <c:auto val="1"/>
        <c:lblAlgn val="ctr"/>
        <c:lblOffset val="100"/>
        <c:noMultiLvlLbl val="0"/>
      </c:catAx>
      <c:valAx>
        <c:axId val="1665728735"/>
        <c:scaling>
          <c:orientation val="minMax"/>
        </c:scaling>
        <c:delete val="1"/>
        <c:axPos val="l"/>
        <c:numFmt formatCode="&quot;$&quot;\ #,##0,,&quot;M&quot;" sourceLinked="1"/>
        <c:majorTickMark val="none"/>
        <c:minorTickMark val="none"/>
        <c:tickLblPos val="nextTo"/>
        <c:crossAx val="166572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[09. Cartera Incapacidades a 09-2025 2.xlsx]Nuevo Modelo2 (2)!TablaDinámica1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 (2)'!$D$124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Modelo2 (2)'!$C$125</c:f>
              <c:strCache>
                <c:ptCount val="1"/>
                <c:pt idx="0">
                  <c:v>ENERO 2025</c:v>
                </c:pt>
              </c:strCache>
            </c:strRef>
          </c:cat>
          <c:val>
            <c:numRef>
              <c:f>'Nuevo Modelo2 (2)'!$D$125</c:f>
              <c:numCache>
                <c:formatCode>"$"\ #,##0,,"M"</c:formatCode>
                <c:ptCount val="1"/>
                <c:pt idx="0">
                  <c:v>293135847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7-4F68-ACE6-09AB59BAA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613647"/>
        <c:axId val="1873610319"/>
      </c:barChart>
      <c:catAx>
        <c:axId val="18736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3610319"/>
        <c:crosses val="autoZero"/>
        <c:auto val="1"/>
        <c:lblAlgn val="ctr"/>
        <c:lblOffset val="100"/>
        <c:noMultiLvlLbl val="0"/>
      </c:catAx>
      <c:valAx>
        <c:axId val="18736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36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1D-4D57-9B90-18EEE83BE9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1D-4D57-9B90-18EEE83BE9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1D-4D57-9B90-18EEE83BE9C8}"/>
              </c:ext>
            </c:extLst>
          </c:dPt>
          <c:cat>
            <c:strRef>
              <c:f>'Nuevo Modelo2 (2)'!$C$155:$E$155</c:f>
              <c:strCache>
                <c:ptCount val="3"/>
                <c:pt idx="0">
                  <c:v>V Recuperados.</c:v>
                </c:pt>
                <c:pt idx="1">
                  <c:v>En recuperacion.</c:v>
                </c:pt>
                <c:pt idx="2">
                  <c:v>Castigado.</c:v>
                </c:pt>
              </c:strCache>
            </c:strRef>
          </c:cat>
          <c:val>
            <c:numRef>
              <c:f>'Nuevo Modelo2 (2)'!$C$156:$E$156</c:f>
              <c:numCache>
                <c:formatCode>"$"\ #,##0,,"M"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1D-4D57-9B90-18EEE83BE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660761154855645E-2"/>
          <c:y val="0.82291557305336838"/>
          <c:w val="0.89890069991251098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 (2)'!$D$182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Modelo2 (2)'!$C$183:$C$190</c:f>
              <c:strCache>
                <c:ptCount val="8"/>
                <c:pt idx="0">
                  <c:v>SANITAS</c:v>
                </c:pt>
                <c:pt idx="1">
                  <c:v>EPS SURA (ANTES SUSALUD)</c:v>
                </c:pt>
                <c:pt idx="2">
                  <c:v>NUEVA E.P.S.</c:v>
                </c:pt>
                <c:pt idx="3">
                  <c:v>FAMISANAR</c:v>
                </c:pt>
                <c:pt idx="4">
                  <c:v>COMPENSAR</c:v>
                </c:pt>
                <c:pt idx="5">
                  <c:v>MEDIMAS EPS</c:v>
                </c:pt>
                <c:pt idx="6">
                  <c:v>COOMEVA</c:v>
                </c:pt>
                <c:pt idx="7">
                  <c:v>EMSSANAR</c:v>
                </c:pt>
              </c:strCache>
            </c:strRef>
          </c:cat>
          <c:val>
            <c:numRef>
              <c:f>'Nuevo Modelo2 (2)'!$D$183:$D$190</c:f>
              <c:numCache>
                <c:formatCode>"$"\ #,##0,,"M"</c:formatCode>
                <c:ptCount val="8"/>
                <c:pt idx="0">
                  <c:v>334380218</c:v>
                </c:pt>
                <c:pt idx="1">
                  <c:v>201087033</c:v>
                </c:pt>
                <c:pt idx="2">
                  <c:v>169352181</c:v>
                </c:pt>
                <c:pt idx="3">
                  <c:v>163758425</c:v>
                </c:pt>
                <c:pt idx="4">
                  <c:v>98554067</c:v>
                </c:pt>
                <c:pt idx="5">
                  <c:v>21984063</c:v>
                </c:pt>
                <c:pt idx="6">
                  <c:v>19999911</c:v>
                </c:pt>
                <c:pt idx="7">
                  <c:v>9533222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E-4BA3-BBEC-F6E02C05F804}"/>
            </c:ext>
          </c:extLst>
        </c:ser>
        <c:ser>
          <c:idx val="1"/>
          <c:order val="1"/>
          <c:tx>
            <c:strRef>
              <c:f>'Nuevo Modelo2 (2)'!$E$182</c:f>
              <c:strCache>
                <c:ptCount val="1"/>
                <c:pt idx="0">
                  <c:v>VALOR PROVISIONADO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 Modelo2 (2)'!$C$183:$C$190</c:f>
              <c:strCache>
                <c:ptCount val="8"/>
                <c:pt idx="0">
                  <c:v>SANITAS</c:v>
                </c:pt>
                <c:pt idx="1">
                  <c:v>EPS SURA (ANTES SUSALUD)</c:v>
                </c:pt>
                <c:pt idx="2">
                  <c:v>NUEVA E.P.S.</c:v>
                </c:pt>
                <c:pt idx="3">
                  <c:v>FAMISANAR</c:v>
                </c:pt>
                <c:pt idx="4">
                  <c:v>COMPENSAR</c:v>
                </c:pt>
                <c:pt idx="5">
                  <c:v>MEDIMAS EPS</c:v>
                </c:pt>
                <c:pt idx="6">
                  <c:v>COOMEVA</c:v>
                </c:pt>
                <c:pt idx="7">
                  <c:v>EMSSANAR</c:v>
                </c:pt>
              </c:strCache>
            </c:strRef>
          </c:cat>
          <c:val>
            <c:numRef>
              <c:f>'Nuevo Modelo2 (2)'!$E$183:$E$190</c:f>
              <c:numCache>
                <c:formatCode>"$"\ #,##0,,"M"</c:formatCode>
                <c:ptCount val="8"/>
                <c:pt idx="0">
                  <c:v>300942196.19999999</c:v>
                </c:pt>
                <c:pt idx="1">
                  <c:v>180978329.70000002</c:v>
                </c:pt>
                <c:pt idx="2">
                  <c:v>152416962.90000001</c:v>
                </c:pt>
                <c:pt idx="3">
                  <c:v>147382582.5</c:v>
                </c:pt>
                <c:pt idx="4">
                  <c:v>88698660.299999997</c:v>
                </c:pt>
                <c:pt idx="5">
                  <c:v>19785656.699999999</c:v>
                </c:pt>
                <c:pt idx="6">
                  <c:v>17999919.900000002</c:v>
                </c:pt>
                <c:pt idx="7">
                  <c:v>8579899.8000000007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E-4BA3-BBEC-F6E02C05F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025151"/>
        <c:axId val="2036029311"/>
      </c:barChart>
      <c:catAx>
        <c:axId val="20360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029311"/>
        <c:crosses val="autoZero"/>
        <c:auto val="1"/>
        <c:lblAlgn val="ctr"/>
        <c:lblOffset val="100"/>
        <c:noMultiLvlLbl val="0"/>
      </c:catAx>
      <c:valAx>
        <c:axId val="203602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60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[09. Cartera Incapacidades a 09-2025 2.xlsx]Nuevo Modelo2 (2)!TablaDinámica2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'Nuevo Modelo2 (2)'!$D$197:$D$198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'Nuevo Modelo2 (2)'!$C$199:$C$210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'Nuevo Modelo2 (2)'!$D$199:$D$210</c:f>
              <c:numCache>
                <c:formatCode>"$"\ #,##0,,"M"</c:formatCode>
                <c:ptCount val="12"/>
                <c:pt idx="0">
                  <c:v>209115251</c:v>
                </c:pt>
                <c:pt idx="1">
                  <c:v>224465967</c:v>
                </c:pt>
                <c:pt idx="2">
                  <c:v>132441051</c:v>
                </c:pt>
                <c:pt idx="3">
                  <c:v>180618914</c:v>
                </c:pt>
                <c:pt idx="4">
                  <c:v>155720180</c:v>
                </c:pt>
                <c:pt idx="5">
                  <c:v>183485112</c:v>
                </c:pt>
                <c:pt idx="6">
                  <c:v>120355167</c:v>
                </c:pt>
                <c:pt idx="7">
                  <c:v>171035337</c:v>
                </c:pt>
                <c:pt idx="8">
                  <c:v>160077011</c:v>
                </c:pt>
                <c:pt idx="9">
                  <c:v>176112958</c:v>
                </c:pt>
                <c:pt idx="10">
                  <c:v>252645629</c:v>
                </c:pt>
                <c:pt idx="11">
                  <c:v>176319295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3-4D9A-A414-C7EEC3D37774}"/>
            </c:ext>
          </c:extLst>
        </c:ser>
        <c:ser>
          <c:idx val="1"/>
          <c:order val="1"/>
          <c:tx>
            <c:strRef>
              <c:f>'Nuevo Modelo2 (2)'!$E$197:$E$198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'Nuevo Modelo2 (2)'!$C$199:$C$210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'Nuevo Modelo2 (2)'!$E$199:$E$210</c:f>
              <c:numCache>
                <c:formatCode>"$"\ #,##0,,"M"</c:formatCode>
                <c:ptCount val="12"/>
                <c:pt idx="0">
                  <c:v>293135847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3-4D9A-A414-C7EEC3D37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683567"/>
        <c:axId val="658692303"/>
      </c:lineChart>
      <c:catAx>
        <c:axId val="65868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8692303"/>
        <c:crosses val="autoZero"/>
        <c:auto val="1"/>
        <c:lblAlgn val="ctr"/>
        <c:lblOffset val="100"/>
        <c:noMultiLvlLbl val="0"/>
      </c:catAx>
      <c:valAx>
        <c:axId val="6586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86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'Nuevo Modelo2 (2)'!$E$233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'Nuevo Modelo2 (2)'!$D$234:$D$235</c:f>
              <c:strCache>
                <c:ptCount val="2"/>
                <c:pt idx="0">
                  <c:v> Cartera </c:v>
                </c:pt>
                <c:pt idx="1">
                  <c:v> Recaudo </c:v>
                </c:pt>
              </c:strCache>
            </c:strRef>
          </c:cat>
          <c:val>
            <c:numRef>
              <c:f>'Nuevo Modelo2 (2)'!$E$234:$E$235</c:f>
              <c:numCache>
                <c:formatCode>"$"\ #,##0,,"M"</c:formatCode>
                <c:ptCount val="2"/>
                <c:pt idx="0">
                  <c:v>192806559</c:v>
                </c:pt>
                <c:pt idx="1">
                  <c:v>21511678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2-4483-82D9-170D41333AF6}"/>
            </c:ext>
          </c:extLst>
        </c:ser>
        <c:ser>
          <c:idx val="1"/>
          <c:order val="1"/>
          <c:tx>
            <c:strRef>
              <c:f>'Nuevo Modelo2 (2)'!$F$233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'Nuevo Modelo2 (2)'!$D$234:$D$235</c:f>
              <c:strCache>
                <c:ptCount val="2"/>
                <c:pt idx="0">
                  <c:v> Cartera </c:v>
                </c:pt>
                <c:pt idx="1">
                  <c:v> Recaudo </c:v>
                </c:pt>
              </c:strCache>
            </c:strRef>
          </c:cat>
          <c:val>
            <c:numRef>
              <c:f>'Nuevo Modelo2 (2)'!$F$234:$F$235</c:f>
              <c:numCache>
                <c:formatCode>"$"\ #,##0,,"M"</c:formatCode>
                <c:ptCount val="2"/>
                <c:pt idx="0">
                  <c:v>2270699221</c:v>
                </c:pt>
                <c:pt idx="1">
                  <c:v>1799118835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2-4483-82D9-170D41333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097151"/>
        <c:axId val="926099231"/>
      </c:barChart>
      <c:catAx>
        <c:axId val="9260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6099231"/>
        <c:crosses val="autoZero"/>
        <c:auto val="1"/>
        <c:lblAlgn val="ctr"/>
        <c:lblOffset val="100"/>
        <c:noMultiLvlLbl val="0"/>
      </c:catAx>
      <c:valAx>
        <c:axId val="92609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60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'Nuevo Modelo2 (2)'!$C$81:$C$91</c:f>
              <c:strCache>
                <c:ptCount val="11"/>
                <c:pt idx="0">
                  <c:v> FEBRERO 2024 </c:v>
                </c:pt>
                <c:pt idx="1">
                  <c:v> MARZO 224 </c:v>
                </c:pt>
                <c:pt idx="2">
                  <c:v> ABRIL 2024 </c:v>
                </c:pt>
                <c:pt idx="3">
                  <c:v> MAYO 2024 </c:v>
                </c:pt>
                <c:pt idx="4">
                  <c:v> JUNIO2024 </c:v>
                </c:pt>
                <c:pt idx="5">
                  <c:v> JULIO 2024 </c:v>
                </c:pt>
                <c:pt idx="6">
                  <c:v> AGOSTO 2024 </c:v>
                </c:pt>
                <c:pt idx="7">
                  <c:v> SEPTIEMBRE 2024 </c:v>
                </c:pt>
                <c:pt idx="8">
                  <c:v> OCTUBRE 2024 </c:v>
                </c:pt>
                <c:pt idx="9">
                  <c:v> NOVIEMBRE 2024 </c:v>
                </c:pt>
                <c:pt idx="10">
                  <c:v> DICIEMBRE 2024 </c:v>
                </c:pt>
              </c:strCache>
            </c:strRef>
          </c:cat>
          <c:val>
            <c:numRef>
              <c:f>'Nuevo Modelo2 (2)'!$L$81:$L$91</c:f>
              <c:numCache>
                <c:formatCode>"$"\ #,##0,,"M"</c:formatCode>
                <c:ptCount val="11"/>
                <c:pt idx="0">
                  <c:v>1378619137</c:v>
                </c:pt>
                <c:pt idx="1">
                  <c:v>1287184695</c:v>
                </c:pt>
                <c:pt idx="2">
                  <c:v>1281480170</c:v>
                </c:pt>
                <c:pt idx="3">
                  <c:v>1337100352</c:v>
                </c:pt>
                <c:pt idx="4">
                  <c:v>1231303460</c:v>
                </c:pt>
                <c:pt idx="5">
                  <c:v>1315298308</c:v>
                </c:pt>
                <c:pt idx="6">
                  <c:v>1400394588</c:v>
                </c:pt>
                <c:pt idx="7">
                  <c:v>1441637977</c:v>
                </c:pt>
                <c:pt idx="8">
                  <c:v>1494454722</c:v>
                </c:pt>
                <c:pt idx="9">
                  <c:v>1532827560</c:v>
                </c:pt>
                <c:pt idx="10">
                  <c:v>1396470738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4-4168-A994-0A17AAD17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728319"/>
        <c:axId val="1665728735"/>
      </c:lineChart>
      <c:catAx>
        <c:axId val="166572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728735"/>
        <c:crosses val="autoZero"/>
        <c:auto val="1"/>
        <c:lblAlgn val="ctr"/>
        <c:lblOffset val="100"/>
        <c:noMultiLvlLbl val="0"/>
      </c:catAx>
      <c:valAx>
        <c:axId val="16657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72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hart" Target="../charts/chart11.xml"/><Relationship Id="rId3" Type="http://schemas.openxmlformats.org/officeDocument/2006/relationships/image" Target="../media/image3.png"/><Relationship Id="rId7" Type="http://schemas.openxmlformats.org/officeDocument/2006/relationships/hyperlink" Target="#'X A&#241;o'!A1"/><Relationship Id="rId12" Type="http://schemas.openxmlformats.org/officeDocument/2006/relationships/chart" Target="../charts/chart10.xml"/><Relationship Id="rId2" Type="http://schemas.openxmlformats.org/officeDocument/2006/relationships/image" Target="../media/image2.png"/><Relationship Id="rId16" Type="http://schemas.openxmlformats.org/officeDocument/2006/relationships/chart" Target="../charts/chart12.xml"/><Relationship Id="rId1" Type="http://schemas.openxmlformats.org/officeDocument/2006/relationships/chart" Target="../charts/chart7.xml"/><Relationship Id="rId6" Type="http://schemas.openxmlformats.org/officeDocument/2006/relationships/chart" Target="../charts/chart9.xml"/><Relationship Id="rId11" Type="http://schemas.openxmlformats.org/officeDocument/2006/relationships/image" Target="../media/image6.png"/><Relationship Id="rId5" Type="http://schemas.openxmlformats.org/officeDocument/2006/relationships/chart" Target="../charts/chart8.xml"/><Relationship Id="rId15" Type="http://schemas.openxmlformats.org/officeDocument/2006/relationships/image" Target="../media/image7.png"/><Relationship Id="rId10" Type="http://schemas.openxmlformats.org/officeDocument/2006/relationships/hyperlink" Target="#'X EPS'!A1"/><Relationship Id="rId4" Type="http://schemas.microsoft.com/office/2007/relationships/hdphoto" Target="../media/hdphoto1.wdp"/><Relationship Id="rId9" Type="http://schemas.openxmlformats.org/officeDocument/2006/relationships/image" Target="../media/image5.png"/><Relationship Id="rId14" Type="http://schemas.openxmlformats.org/officeDocument/2006/relationships/hyperlink" Target="#'X Pago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PRESENT 2'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hyperlink" Target="#'PRESENT 2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#'PRESENT 2'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61452</xdr:colOff>
      <xdr:row>3</xdr:row>
      <xdr:rowOff>30365</xdr:rowOff>
    </xdr:from>
    <xdr:to>
      <xdr:col>2</xdr:col>
      <xdr:colOff>737247</xdr:colOff>
      <xdr:row>4</xdr:row>
      <xdr:rowOff>160377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52" y="278015"/>
          <a:ext cx="2199795" cy="314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661462</xdr:colOff>
      <xdr:row>0</xdr:row>
      <xdr:rowOff>0</xdr:rowOff>
    </xdr:from>
    <xdr:to>
      <xdr:col>8</xdr:col>
      <xdr:colOff>369518</xdr:colOff>
      <xdr:row>3</xdr:row>
      <xdr:rowOff>63335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0885" y="0"/>
          <a:ext cx="3885069" cy="6128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1385456</xdr:colOff>
      <xdr:row>116</xdr:row>
      <xdr:rowOff>100446</xdr:rowOff>
    </xdr:from>
    <xdr:to>
      <xdr:col>7</xdr:col>
      <xdr:colOff>658092</xdr:colOff>
      <xdr:row>131</xdr:row>
      <xdr:rowOff>72737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710045</xdr:colOff>
      <xdr:row>147</xdr:row>
      <xdr:rowOff>31174</xdr:rowOff>
    </xdr:from>
    <xdr:to>
      <xdr:col>8</xdr:col>
      <xdr:colOff>1749136</xdr:colOff>
      <xdr:row>161</xdr:row>
      <xdr:rowOff>142010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490682</xdr:colOff>
      <xdr:row>167</xdr:row>
      <xdr:rowOff>31173</xdr:rowOff>
    </xdr:from>
    <xdr:to>
      <xdr:col>8</xdr:col>
      <xdr:colOff>1529773</xdr:colOff>
      <xdr:row>188</xdr:row>
      <xdr:rowOff>3464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620568</xdr:colOff>
      <xdr:row>96</xdr:row>
      <xdr:rowOff>135082</xdr:rowOff>
    </xdr:from>
    <xdr:to>
      <xdr:col>11</xdr:col>
      <xdr:colOff>1390456</xdr:colOff>
      <xdr:row>110</xdr:row>
      <xdr:rowOff>73028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S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67568" y="1815753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265543</xdr:colOff>
      <xdr:row>189</xdr:row>
      <xdr:rowOff>175491</xdr:rowOff>
    </xdr:from>
    <xdr:to>
      <xdr:col>13</xdr:col>
      <xdr:colOff>507998</xdr:colOff>
      <xdr:row>204</xdr:row>
      <xdr:rowOff>147782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982326</xdr:colOff>
      <xdr:row>191</xdr:row>
      <xdr:rowOff>38292</xdr:rowOff>
    </xdr:from>
    <xdr:to>
      <xdr:col>6</xdr:col>
      <xdr:colOff>2799998</xdr:colOff>
      <xdr:row>204</xdr:row>
      <xdr:rowOff>160960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PS intervenida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S interveni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2576" y="36381459"/>
              <a:ext cx="1823027" cy="2461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860137</xdr:colOff>
      <xdr:row>223</xdr:row>
      <xdr:rowOff>83126</xdr:rowOff>
    </xdr:from>
    <xdr:to>
      <xdr:col>9</xdr:col>
      <xdr:colOff>1460500</xdr:colOff>
      <xdr:row>237</xdr:row>
      <xdr:rowOff>147781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1346730</xdr:colOff>
      <xdr:row>97</xdr:row>
      <xdr:rowOff>96838</xdr:rowOff>
    </xdr:from>
    <xdr:to>
      <xdr:col>16</xdr:col>
      <xdr:colOff>520172</xdr:colOff>
      <xdr:row>111</xdr:row>
      <xdr:rowOff>173039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169333</xdr:colOff>
      <xdr:row>40</xdr:row>
      <xdr:rowOff>10584</xdr:rowOff>
    </xdr:from>
    <xdr:to>
      <xdr:col>3</xdr:col>
      <xdr:colOff>666750</xdr:colOff>
      <xdr:row>100</xdr:row>
      <xdr:rowOff>116417</xdr:rowOff>
    </xdr:to>
    <xdr:sp macro="" textlink="">
      <xdr:nvSpPr>
        <xdr:cNvPr id="40" name="Rectángulo redondeado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169333" y="7344834"/>
          <a:ext cx="2201334" cy="11281833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380569</xdr:colOff>
      <xdr:row>6</xdr:row>
      <xdr:rowOff>117043</xdr:rowOff>
    </xdr:from>
    <xdr:to>
      <xdr:col>15</xdr:col>
      <xdr:colOff>476250</xdr:colOff>
      <xdr:row>21</xdr:row>
      <xdr:rowOff>349250</xdr:rowOff>
    </xdr:to>
    <xdr:sp macro="" textlink="">
      <xdr:nvSpPr>
        <xdr:cNvPr id="25" name="Rectángulo redondead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620069" y="1196543"/>
          <a:ext cx="7758014" cy="293095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402166</xdr:colOff>
      <xdr:row>6</xdr:row>
      <xdr:rowOff>31750</xdr:rowOff>
    </xdr:from>
    <xdr:to>
      <xdr:col>18</xdr:col>
      <xdr:colOff>232833</xdr:colOff>
      <xdr:row>21</xdr:row>
      <xdr:rowOff>179917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7</xdr:row>
      <xdr:rowOff>0</xdr:rowOff>
    </xdr:from>
    <xdr:to>
      <xdr:col>8</xdr:col>
      <xdr:colOff>550334</xdr:colOff>
      <xdr:row>22</xdr:row>
      <xdr:rowOff>0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751667" y="1259417"/>
          <a:ext cx="5334000" cy="287866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158751</xdr:colOff>
      <xdr:row>1</xdr:row>
      <xdr:rowOff>2645</xdr:rowOff>
    </xdr:from>
    <xdr:to>
      <xdr:col>14</xdr:col>
      <xdr:colOff>190501</xdr:colOff>
      <xdr:row>6</xdr:row>
      <xdr:rowOff>0</xdr:rowOff>
    </xdr:to>
    <xdr:sp macro="" textlink="">
      <xdr:nvSpPr>
        <xdr:cNvPr id="4" name="Rectángulo redondead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58751" y="182562"/>
          <a:ext cx="17113250" cy="89693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465188</xdr:colOff>
      <xdr:row>0</xdr:row>
      <xdr:rowOff>176308</xdr:rowOff>
    </xdr:from>
    <xdr:to>
      <xdr:col>11</xdr:col>
      <xdr:colOff>772584</xdr:colOff>
      <xdr:row>5</xdr:row>
      <xdr:rowOff>39206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4677355" y="176308"/>
          <a:ext cx="8816396" cy="762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600" b="1">
              <a:solidFill>
                <a:schemeClr val="tx1">
                  <a:lumMod val="50000"/>
                  <a:lumOff val="50000"/>
                </a:schemeClr>
              </a:solidFill>
              <a:latin typeface="OPEN SANS"/>
            </a:rPr>
            <a:t>Cartera Incapacidades</a:t>
          </a:r>
          <a:r>
            <a:rPr lang="es-MX" sz="3600" b="1" baseline="0">
              <a:latin typeface="OPEN SANS"/>
            </a:rPr>
            <a:t> </a:t>
          </a:r>
          <a:r>
            <a:rPr lang="es-MX" sz="3600" b="1" baseline="0">
              <a:solidFill>
                <a:schemeClr val="accent5">
                  <a:lumMod val="50000"/>
                </a:schemeClr>
              </a:solidFill>
              <a:latin typeface="OPEN SANS"/>
            </a:rPr>
            <a:t>2025</a:t>
          </a:r>
        </a:p>
      </xdr:txBody>
    </xdr:sp>
    <xdr:clientData/>
  </xdr:twoCellAnchor>
  <xdr:twoCellAnchor editAs="oneCell">
    <xdr:from>
      <xdr:col>5</xdr:col>
      <xdr:colOff>554663</xdr:colOff>
      <xdr:row>1</xdr:row>
      <xdr:rowOff>39448</xdr:rowOff>
    </xdr:from>
    <xdr:to>
      <xdr:col>7</xdr:col>
      <xdr:colOff>189152</xdr:colOff>
      <xdr:row>5</xdr:row>
      <xdr:rowOff>10585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2830" y="219365"/>
          <a:ext cx="2285614" cy="690803"/>
        </a:xfrm>
        <a:prstGeom prst="rect">
          <a:avLst/>
        </a:prstGeom>
      </xdr:spPr>
    </xdr:pic>
    <xdr:clientData/>
  </xdr:twoCellAnchor>
  <xdr:twoCellAnchor>
    <xdr:from>
      <xdr:col>1</xdr:col>
      <xdr:colOff>746993</xdr:colOff>
      <xdr:row>12</xdr:row>
      <xdr:rowOff>116320</xdr:rowOff>
    </xdr:from>
    <xdr:to>
      <xdr:col>4</xdr:col>
      <xdr:colOff>918537</xdr:colOff>
      <xdr:row>12</xdr:row>
      <xdr:rowOff>116320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 flipH="1" flipV="1">
          <a:off x="746993" y="2333047"/>
          <a:ext cx="2457544" cy="0"/>
        </a:xfrm>
        <a:prstGeom prst="line">
          <a:avLst/>
        </a:prstGeom>
        <a:ln w="25400">
          <a:solidFill>
            <a:schemeClr val="accent5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605319</xdr:colOff>
      <xdr:row>13</xdr:row>
      <xdr:rowOff>149271</xdr:rowOff>
    </xdr:from>
    <xdr:to>
      <xdr:col>3</xdr:col>
      <xdr:colOff>97174</xdr:colOff>
      <xdr:row>15</xdr:row>
      <xdr:rowOff>50030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785236" y="2488188"/>
          <a:ext cx="1015855" cy="2605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MX" sz="1100" b="1" baseline="0">
              <a:solidFill>
                <a:schemeClr val="dk1"/>
              </a:solidFill>
              <a:latin typeface="OPEN SANS"/>
              <a:ea typeface="+mn-ea"/>
              <a:cs typeface="+mn-cs"/>
            </a:rPr>
            <a:t>Recobrado.</a:t>
          </a:r>
        </a:p>
      </xdr:txBody>
    </xdr:sp>
    <xdr:clientData/>
  </xdr:twoCellAnchor>
  <xdr:twoCellAnchor editAs="oneCell">
    <xdr:from>
      <xdr:col>2</xdr:col>
      <xdr:colOff>53056</xdr:colOff>
      <xdr:row>9</xdr:row>
      <xdr:rowOff>158823</xdr:rowOff>
    </xdr:from>
    <xdr:to>
      <xdr:col>2</xdr:col>
      <xdr:colOff>582084</xdr:colOff>
      <xdr:row>12</xdr:row>
      <xdr:rowOff>22942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-50000"/>
                  </a14:imgEffect>
                  <a14:imgEffect>
                    <a14:colorTemperature colorTemp="59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5056" y="1778073"/>
          <a:ext cx="529028" cy="403869"/>
        </a:xfrm>
        <a:prstGeom prst="rect">
          <a:avLst/>
        </a:prstGeom>
      </xdr:spPr>
    </xdr:pic>
    <xdr:clientData/>
  </xdr:twoCellAnchor>
  <xdr:twoCellAnchor>
    <xdr:from>
      <xdr:col>6</xdr:col>
      <xdr:colOff>445607</xdr:colOff>
      <xdr:row>7</xdr:row>
      <xdr:rowOff>12412</xdr:rowOff>
    </xdr:from>
    <xdr:to>
      <xdr:col>9</xdr:col>
      <xdr:colOff>114977</xdr:colOff>
      <xdr:row>8</xdr:row>
      <xdr:rowOff>178058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4837690" y="1271829"/>
          <a:ext cx="4664704" cy="345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chemeClr val="dk1"/>
              </a:solidFill>
              <a:latin typeface="OPEN SANS"/>
            </a:rPr>
            <a:t>Gestion Recobro.</a:t>
          </a:r>
          <a:endParaRPr lang="es-MX" sz="14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5</xdr:col>
      <xdr:colOff>231872</xdr:colOff>
      <xdr:row>9</xdr:row>
      <xdr:rowOff>136140</xdr:rowOff>
    </xdr:from>
    <xdr:to>
      <xdr:col>5</xdr:col>
      <xdr:colOff>237355</xdr:colOff>
      <xdr:row>21</xdr:row>
      <xdr:rowOff>10583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H="1">
          <a:off x="3226955" y="1755390"/>
          <a:ext cx="5483" cy="2033443"/>
        </a:xfrm>
        <a:prstGeom prst="line">
          <a:avLst/>
        </a:prstGeom>
        <a:ln w="25400">
          <a:solidFill>
            <a:schemeClr val="accent5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467976</xdr:colOff>
      <xdr:row>7</xdr:row>
      <xdr:rowOff>70860</xdr:rowOff>
    </xdr:from>
    <xdr:to>
      <xdr:col>4</xdr:col>
      <xdr:colOff>546247</xdr:colOff>
      <xdr:row>9</xdr:row>
      <xdr:rowOff>59228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647893" y="1330277"/>
          <a:ext cx="2364271" cy="348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chemeClr val="dk1"/>
              </a:solidFill>
              <a:latin typeface="OPEN SANS"/>
            </a:rPr>
            <a:t>Total cartera.</a:t>
          </a:r>
          <a:endParaRPr lang="es-MX" sz="14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3</xdr:col>
      <xdr:colOff>571501</xdr:colOff>
      <xdr:row>40</xdr:row>
      <xdr:rowOff>78895</xdr:rowOff>
    </xdr:from>
    <xdr:to>
      <xdr:col>7</xdr:col>
      <xdr:colOff>1767418</xdr:colOff>
      <xdr:row>42</xdr:row>
      <xdr:rowOff>42333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2095501" y="4322812"/>
          <a:ext cx="5175250" cy="323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chemeClr val="dk1"/>
              </a:solidFill>
              <a:latin typeface="OPEN SANS"/>
            </a:rPr>
            <a:t>PROVISION - Modelo Perdida Esperada.</a:t>
          </a:r>
          <a:endParaRPr lang="es-MX" sz="14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1</xdr:col>
      <xdr:colOff>626869</xdr:colOff>
      <xdr:row>15</xdr:row>
      <xdr:rowOff>145810</xdr:rowOff>
    </xdr:from>
    <xdr:to>
      <xdr:col>3</xdr:col>
      <xdr:colOff>118724</xdr:colOff>
      <xdr:row>17</xdr:row>
      <xdr:rowOff>46567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/>
      </xdr:nvSpPr>
      <xdr:spPr>
        <a:xfrm>
          <a:off x="806786" y="2844560"/>
          <a:ext cx="1015855" cy="260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MX" sz="1100" b="1" baseline="0">
              <a:solidFill>
                <a:schemeClr val="dk1"/>
              </a:solidFill>
              <a:latin typeface="OPEN SANS"/>
              <a:ea typeface="+mn-ea"/>
              <a:cs typeface="+mn-cs"/>
            </a:rPr>
            <a:t>Castigado.</a:t>
          </a:r>
        </a:p>
      </xdr:txBody>
    </xdr:sp>
    <xdr:clientData/>
  </xdr:twoCellAnchor>
  <xdr:twoCellAnchor>
    <xdr:from>
      <xdr:col>1</xdr:col>
      <xdr:colOff>454074</xdr:colOff>
      <xdr:row>19</xdr:row>
      <xdr:rowOff>142344</xdr:rowOff>
    </xdr:from>
    <xdr:to>
      <xdr:col>3</xdr:col>
      <xdr:colOff>79856</xdr:colOff>
      <xdr:row>21</xdr:row>
      <xdr:rowOff>45218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/>
      </xdr:nvSpPr>
      <xdr:spPr>
        <a:xfrm>
          <a:off x="633991" y="3560761"/>
          <a:ext cx="1149782" cy="262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MX" sz="1100" b="1" baseline="0">
              <a:solidFill>
                <a:schemeClr val="dk1"/>
              </a:solidFill>
              <a:latin typeface="OPEN SANS"/>
              <a:ea typeface="+mn-ea"/>
              <a:cs typeface="+mn-cs"/>
            </a:rPr>
            <a:t>Saldo Cartera.</a:t>
          </a:r>
        </a:p>
      </xdr:txBody>
    </xdr:sp>
    <xdr:clientData/>
  </xdr:twoCellAnchor>
  <xdr:twoCellAnchor>
    <xdr:from>
      <xdr:col>1</xdr:col>
      <xdr:colOff>714665</xdr:colOff>
      <xdr:row>18</xdr:row>
      <xdr:rowOff>83992</xdr:rowOff>
    </xdr:from>
    <xdr:to>
      <xdr:col>4</xdr:col>
      <xdr:colOff>886209</xdr:colOff>
      <xdr:row>18</xdr:row>
      <xdr:rowOff>83992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CxnSpPr/>
      </xdr:nvCxnSpPr>
      <xdr:spPr>
        <a:xfrm flipH="1" flipV="1">
          <a:off x="714665" y="3409083"/>
          <a:ext cx="2457544" cy="0"/>
        </a:xfrm>
        <a:prstGeom prst="line">
          <a:avLst/>
        </a:prstGeom>
        <a:ln w="25400">
          <a:solidFill>
            <a:schemeClr val="accent5">
              <a:lumMod val="50000"/>
            </a:schemeClr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63500</xdr:colOff>
      <xdr:row>6</xdr:row>
      <xdr:rowOff>122958</xdr:rowOff>
    </xdr:from>
    <xdr:to>
      <xdr:col>15</xdr:col>
      <xdr:colOff>468945</xdr:colOff>
      <xdr:row>7</xdr:row>
      <xdr:rowOff>169332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7049750" y="1202458"/>
          <a:ext cx="2225778" cy="226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chemeClr val="dk1"/>
              </a:solidFill>
              <a:latin typeface="OPEN SANS"/>
            </a:rPr>
            <a:t>Evolutivo Recaudo.</a:t>
          </a:r>
          <a:endParaRPr lang="es-MX" sz="14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5</xdr:col>
      <xdr:colOff>190500</xdr:colOff>
      <xdr:row>7</xdr:row>
      <xdr:rowOff>116416</xdr:rowOff>
    </xdr:from>
    <xdr:to>
      <xdr:col>8</xdr:col>
      <xdr:colOff>433917</xdr:colOff>
      <xdr:row>22</xdr:row>
      <xdr:rowOff>52916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237065</xdr:colOff>
      <xdr:row>43</xdr:row>
      <xdr:rowOff>51380</xdr:rowOff>
    </xdr:from>
    <xdr:to>
      <xdr:col>14</xdr:col>
      <xdr:colOff>2145915</xdr:colOff>
      <xdr:row>46</xdr:row>
      <xdr:rowOff>21168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16609482" y="4835047"/>
          <a:ext cx="2184016" cy="594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chemeClr val="dk1"/>
              </a:solidFill>
              <a:latin typeface="OPEN SANS"/>
            </a:rPr>
            <a:t>Provision Vs Cartera Actual.</a:t>
          </a:r>
          <a:endParaRPr lang="es-MX" sz="14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4</xdr:col>
      <xdr:colOff>31747</xdr:colOff>
      <xdr:row>62</xdr:row>
      <xdr:rowOff>21167</xdr:rowOff>
    </xdr:from>
    <xdr:to>
      <xdr:col>10</xdr:col>
      <xdr:colOff>1460499</xdr:colOff>
      <xdr:row>81</xdr:row>
      <xdr:rowOff>52918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1030816</xdr:colOff>
      <xdr:row>63</xdr:row>
      <xdr:rowOff>178380</xdr:rowOff>
    </xdr:from>
    <xdr:to>
      <xdr:col>9</xdr:col>
      <xdr:colOff>590165</xdr:colOff>
      <xdr:row>65</xdr:row>
      <xdr:rowOff>152401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6534149" y="9364713"/>
          <a:ext cx="3263516" cy="333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 baseline="0">
              <a:solidFill>
                <a:schemeClr val="dk1"/>
              </a:solidFill>
              <a:latin typeface="OPEN SANS"/>
            </a:rPr>
            <a:t>Detalle.</a:t>
          </a:r>
          <a:endParaRPr lang="es-MX" sz="16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11</xdr:col>
      <xdr:colOff>294215</xdr:colOff>
      <xdr:row>61</xdr:row>
      <xdr:rowOff>63499</xdr:rowOff>
    </xdr:from>
    <xdr:to>
      <xdr:col>13</xdr:col>
      <xdr:colOff>105834</xdr:colOff>
      <xdr:row>65</xdr:row>
      <xdr:rowOff>158749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13385798" y="11355916"/>
          <a:ext cx="3367619" cy="814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rgbClr val="0070C0"/>
              </a:solidFill>
              <a:latin typeface="OPEN SANS"/>
            </a:rPr>
            <a:t>EPS Intervenidas Vs Cartera Total.</a:t>
          </a:r>
          <a:endParaRPr lang="es-MX" sz="1400" b="1">
            <a:solidFill>
              <a:srgbClr val="0070C0"/>
            </a:solidFill>
            <a:latin typeface="OPEN SANS"/>
          </a:endParaRPr>
        </a:p>
      </xdr:txBody>
    </xdr:sp>
    <xdr:clientData/>
  </xdr:twoCellAnchor>
  <xdr:twoCellAnchor editAs="oneCell">
    <xdr:from>
      <xdr:col>8</xdr:col>
      <xdr:colOff>52916</xdr:colOff>
      <xdr:row>14</xdr:row>
      <xdr:rowOff>42362</xdr:rowOff>
    </xdr:from>
    <xdr:to>
      <xdr:col>8</xdr:col>
      <xdr:colOff>518583</xdr:colOff>
      <xdr:row>16</xdr:row>
      <xdr:rowOff>139578</xdr:rowOff>
    </xdr:to>
    <xdr:pic>
      <xdr:nvPicPr>
        <xdr:cNvPr id="46" name="Imagen 45" descr="C:\Users\GARD11\OneDrive - Sodimac Colombia S.A\Escritorio\imagenes y fondos\TOOLKIT ORGULLO\Franco_Pensando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249" y="2561195"/>
          <a:ext cx="465667" cy="45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201082</xdr:colOff>
      <xdr:row>67</xdr:row>
      <xdr:rowOff>21167</xdr:rowOff>
    </xdr:from>
    <xdr:to>
      <xdr:col>3</xdr:col>
      <xdr:colOff>508000</xdr:colOff>
      <xdr:row>77</xdr:row>
      <xdr:rowOff>19039</xdr:rowOff>
    </xdr:to>
    <xdr:pic>
      <xdr:nvPicPr>
        <xdr:cNvPr id="47" name="Imagen 46" descr="C:\Users\GARD11\OneDrive - Sodimac Colombia S.A\Escritorio\imagenes y fondos\TOOLKIT ORGULLO\Franco_Pensando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082" y="9927167"/>
          <a:ext cx="1830918" cy="1797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42333</xdr:colOff>
      <xdr:row>62</xdr:row>
      <xdr:rowOff>74082</xdr:rowOff>
    </xdr:from>
    <xdr:to>
      <xdr:col>3</xdr:col>
      <xdr:colOff>645583</xdr:colOff>
      <xdr:row>67</xdr:row>
      <xdr:rowOff>52916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42333" y="8456082"/>
          <a:ext cx="2127250" cy="878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="1" baseline="0">
              <a:solidFill>
                <a:schemeClr val="dk1"/>
              </a:solidFill>
              <a:latin typeface="OPEN SANS"/>
            </a:rPr>
            <a:t>EPS INTERVENIDAS.</a:t>
          </a:r>
          <a:endParaRPr lang="es-MX" sz="14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 editAs="oneCell">
    <xdr:from>
      <xdr:col>1</xdr:col>
      <xdr:colOff>222250</xdr:colOff>
      <xdr:row>41</xdr:row>
      <xdr:rowOff>105833</xdr:rowOff>
    </xdr:from>
    <xdr:to>
      <xdr:col>3</xdr:col>
      <xdr:colOff>527050</xdr:colOff>
      <xdr:row>63</xdr:row>
      <xdr:rowOff>95252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MES 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167" y="4582583"/>
              <a:ext cx="1828800" cy="40640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730249</xdr:colOff>
      <xdr:row>81</xdr:row>
      <xdr:rowOff>84665</xdr:rowOff>
    </xdr:from>
    <xdr:to>
      <xdr:col>16</xdr:col>
      <xdr:colOff>31749</xdr:colOff>
      <xdr:row>101</xdr:row>
      <xdr:rowOff>21167</xdr:rowOff>
    </xdr:to>
    <xdr:sp macro="" textlink="">
      <xdr:nvSpPr>
        <xdr:cNvPr id="35" name="Rectángulo redondeado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2427431" y="15290029"/>
          <a:ext cx="17416318" cy="363104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512233</xdr:colOff>
      <xdr:row>83</xdr:row>
      <xdr:rowOff>125463</xdr:rowOff>
    </xdr:from>
    <xdr:to>
      <xdr:col>6</xdr:col>
      <xdr:colOff>1087582</xdr:colOff>
      <xdr:row>85</xdr:row>
      <xdr:rowOff>99483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2036233" y="12836046"/>
          <a:ext cx="3263516" cy="333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 baseline="0">
              <a:solidFill>
                <a:schemeClr val="dk1"/>
              </a:solidFill>
              <a:latin typeface="OPEN SANS"/>
            </a:rPr>
            <a:t>Tendencia de Pagos.</a:t>
          </a:r>
          <a:endParaRPr lang="es-MX" sz="16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 editAs="oneCell">
    <xdr:from>
      <xdr:col>8</xdr:col>
      <xdr:colOff>42333</xdr:colOff>
      <xdr:row>11</xdr:row>
      <xdr:rowOff>51711</xdr:rowOff>
    </xdr:from>
    <xdr:to>
      <xdr:col>8</xdr:col>
      <xdr:colOff>488038</xdr:colOff>
      <xdr:row>13</xdr:row>
      <xdr:rowOff>137582</xdr:rowOff>
    </xdr:to>
    <xdr:pic>
      <xdr:nvPicPr>
        <xdr:cNvPr id="39" name="Imagen 3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77666" y="2030794"/>
          <a:ext cx="445705" cy="445705"/>
        </a:xfrm>
        <a:prstGeom prst="rect">
          <a:avLst/>
        </a:prstGeom>
      </xdr:spPr>
    </xdr:pic>
    <xdr:clientData/>
  </xdr:twoCellAnchor>
  <xdr:twoCellAnchor>
    <xdr:from>
      <xdr:col>6</xdr:col>
      <xdr:colOff>539748</xdr:colOff>
      <xdr:row>81</xdr:row>
      <xdr:rowOff>137583</xdr:rowOff>
    </xdr:from>
    <xdr:to>
      <xdr:col>13</xdr:col>
      <xdr:colOff>402166</xdr:colOff>
      <xdr:row>99</xdr:row>
      <xdr:rowOff>116416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253999</xdr:colOff>
      <xdr:row>81</xdr:row>
      <xdr:rowOff>148166</xdr:rowOff>
    </xdr:from>
    <xdr:to>
      <xdr:col>3</xdr:col>
      <xdr:colOff>465666</xdr:colOff>
      <xdr:row>99</xdr:row>
      <xdr:rowOff>74084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EPS intervenida 3">
              <a:extLst>
                <a:ext uri="{FF2B5EF4-FFF2-40B4-BE49-F238E27FC236}">
                  <a16:creationId xmlns:a16="http://schemas.microsoft.com/office/drawing/2014/main" id="{00000000-0008-0000-0300-00003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S intervenid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999" y="12149666"/>
              <a:ext cx="1735667" cy="3164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666751</xdr:colOff>
      <xdr:row>6</xdr:row>
      <xdr:rowOff>116416</xdr:rowOff>
    </xdr:from>
    <xdr:to>
      <xdr:col>10</xdr:col>
      <xdr:colOff>317500</xdr:colOff>
      <xdr:row>22</xdr:row>
      <xdr:rowOff>31123</xdr:rowOff>
    </xdr:to>
    <xdr:sp macro="" textlink="">
      <xdr:nvSpPr>
        <xdr:cNvPr id="57" name="Rectángulo redondeado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8202084" y="1195916"/>
          <a:ext cx="3354916" cy="29732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135659</xdr:colOff>
      <xdr:row>7</xdr:row>
      <xdr:rowOff>31750</xdr:rowOff>
    </xdr:from>
    <xdr:to>
      <xdr:col>10</xdr:col>
      <xdr:colOff>304991</xdr:colOff>
      <xdr:row>22</xdr:row>
      <xdr:rowOff>52918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664302</xdr:colOff>
      <xdr:row>6</xdr:row>
      <xdr:rowOff>174337</xdr:rowOff>
    </xdr:from>
    <xdr:to>
      <xdr:col>10</xdr:col>
      <xdr:colOff>525127</xdr:colOff>
      <xdr:row>8</xdr:row>
      <xdr:rowOff>42336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8203484" y="1282701"/>
          <a:ext cx="3555370" cy="237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s-CO" sz="1400" b="1" baseline="0">
              <a:solidFill>
                <a:schemeClr val="dk1"/>
              </a:solidFill>
              <a:latin typeface="OPEN SANS"/>
              <a:ea typeface="+mn-ea"/>
              <a:cs typeface="+mn-cs"/>
            </a:rPr>
            <a:t>Recaudo año Vs Año Ant Sept.</a:t>
          </a:r>
        </a:p>
      </xdr:txBody>
    </xdr:sp>
    <xdr:clientData/>
  </xdr:twoCellAnchor>
  <xdr:twoCellAnchor editAs="oneCell">
    <xdr:from>
      <xdr:col>15</xdr:col>
      <xdr:colOff>74084</xdr:colOff>
      <xdr:row>8</xdr:row>
      <xdr:rowOff>84667</xdr:rowOff>
    </xdr:from>
    <xdr:to>
      <xdr:col>15</xdr:col>
      <xdr:colOff>486349</xdr:colOff>
      <xdr:row>10</xdr:row>
      <xdr:rowOff>148167</xdr:rowOff>
    </xdr:to>
    <xdr:pic>
      <xdr:nvPicPr>
        <xdr:cNvPr id="60" name="Imagen 59" descr="C:\Users\GARD11\OneDrive - Sodimac Colombia S.A\Escritorio\imagenes y fondos\TOOLKIT ORGULLO\Franco_Pensando.pn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5917" y="1524000"/>
          <a:ext cx="431315" cy="423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17318</xdr:colOff>
      <xdr:row>22</xdr:row>
      <xdr:rowOff>89528</xdr:rowOff>
    </xdr:from>
    <xdr:to>
      <xdr:col>15</xdr:col>
      <xdr:colOff>504152</xdr:colOff>
      <xdr:row>38</xdr:row>
      <xdr:rowOff>158751</xdr:rowOff>
    </xdr:to>
    <xdr:sp macro="" textlink="">
      <xdr:nvSpPr>
        <xdr:cNvPr id="42" name="Rectángulo redondeado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190500" y="4326710"/>
          <a:ext cx="19617652" cy="3024859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582082</xdr:colOff>
      <xdr:row>27</xdr:row>
      <xdr:rowOff>148358</xdr:rowOff>
    </xdr:from>
    <xdr:to>
      <xdr:col>5</xdr:col>
      <xdr:colOff>656166</xdr:colOff>
      <xdr:row>32</xdr:row>
      <xdr:rowOff>169333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761999" y="5186025"/>
          <a:ext cx="3069167" cy="920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 baseline="0">
              <a:solidFill>
                <a:schemeClr val="dk1"/>
              </a:solidFill>
              <a:latin typeface="OPEN SANS"/>
            </a:rPr>
            <a:t>Comportamiento de Cartera Acumulado Año.</a:t>
          </a:r>
          <a:endParaRPr lang="es-MX" sz="1600" b="1">
            <a:solidFill>
              <a:srgbClr val="61438D"/>
            </a:solidFill>
            <a:latin typeface="OPEN SANS"/>
          </a:endParaRPr>
        </a:p>
      </xdr:txBody>
    </xdr:sp>
    <xdr:clientData/>
  </xdr:twoCellAnchor>
  <xdr:twoCellAnchor>
    <xdr:from>
      <xdr:col>5</xdr:col>
      <xdr:colOff>740833</xdr:colOff>
      <xdr:row>23</xdr:row>
      <xdr:rowOff>57777</xdr:rowOff>
    </xdr:from>
    <xdr:to>
      <xdr:col>14</xdr:col>
      <xdr:colOff>613833</xdr:colOff>
      <xdr:row>39</xdr:row>
      <xdr:rowOff>21166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0.1969</cdr:x>
      <cdr:y>0.06901</cdr:y>
    </cdr:from>
    <cdr:to>
      <cdr:x>0.36997</cdr:x>
      <cdr:y>0.23358</cdr:y>
    </cdr:to>
    <cdr:sp macro="" textlink="'Nuevo Modelo2'!$G$226">
      <cdr:nvSpPr>
        <cdr:cNvPr id="2" name="CuadroTexto 35"/>
        <cdr:cNvSpPr txBox="1"/>
      </cdr:nvSpPr>
      <cdr:spPr>
        <a:xfrm xmlns:a="http://schemas.openxmlformats.org/drawingml/2006/main">
          <a:off x="760809" y="204643"/>
          <a:ext cx="668722" cy="4879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34975C0-955C-4498-AA7B-05CD66348BCF}" type="TxLink">
            <a:rPr lang="en-US" sz="11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-2,0%</a:t>
          </a:fld>
          <a:endParaRPr lang="es-MX" sz="1600" b="1">
            <a:solidFill>
              <a:srgbClr val="FF0000"/>
            </a:solidFill>
            <a:latin typeface="OPEN SANS"/>
          </a:endParaRPr>
        </a:p>
      </cdr:txBody>
    </cdr:sp>
  </cdr:relSizeAnchor>
  <cdr:relSizeAnchor xmlns:cdr="http://schemas.openxmlformats.org/drawingml/2006/chartDrawing">
    <cdr:from>
      <cdr:x>0.59585</cdr:x>
      <cdr:y>0.21838</cdr:y>
    </cdr:from>
    <cdr:to>
      <cdr:x>0.77717</cdr:x>
      <cdr:y>0.37919</cdr:y>
    </cdr:to>
    <cdr:sp macro="" textlink="'Nuevo Modelo2'!$G$227">
      <cdr:nvSpPr>
        <cdr:cNvPr id="4" name="CuadroTexto 35"/>
        <cdr:cNvSpPr txBox="1"/>
      </cdr:nvSpPr>
      <cdr:spPr>
        <a:xfrm xmlns:a="http://schemas.openxmlformats.org/drawingml/2006/main">
          <a:off x="2208927" y="667285"/>
          <a:ext cx="672188" cy="4913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BEFF29D-F15F-4862-8E6F-E8DEC457C545}" type="TxLink">
            <a:rPr lang="en-US" sz="11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70%</a:t>
          </a:fld>
          <a:endParaRPr lang="es-MX" sz="1600" b="1">
            <a:solidFill>
              <a:srgbClr val="FF0000"/>
            </a:solidFill>
            <a:latin typeface="OPEN SANS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2</xdr:row>
      <xdr:rowOff>36285</xdr:rowOff>
    </xdr:from>
    <xdr:to>
      <xdr:col>1</xdr:col>
      <xdr:colOff>1034006</xdr:colOff>
      <xdr:row>4</xdr:row>
      <xdr:rowOff>9071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3" y="217714"/>
          <a:ext cx="990463" cy="299357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266701</xdr:colOff>
      <xdr:row>1</xdr:row>
      <xdr:rowOff>127001</xdr:rowOff>
    </xdr:from>
    <xdr:to>
      <xdr:col>10</xdr:col>
      <xdr:colOff>3175</xdr:colOff>
      <xdr:row>4</xdr:row>
      <xdr:rowOff>105252</xdr:rowOff>
    </xdr:to>
    <xdr:pic>
      <xdr:nvPicPr>
        <xdr:cNvPr id="5" name="Imagen 4" descr="C:\Users\GARD11\OneDrive - Sodimac Colombia S.A\Escritorio\imagenes y fondos\TOOLKIT ORGULLO\Franco_Pensando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1" y="285751"/>
          <a:ext cx="488949" cy="479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184151</xdr:colOff>
      <xdr:row>1</xdr:row>
      <xdr:rowOff>114301</xdr:rowOff>
    </xdr:from>
    <xdr:to>
      <xdr:col>10</xdr:col>
      <xdr:colOff>673100</xdr:colOff>
      <xdr:row>4</xdr:row>
      <xdr:rowOff>92552</xdr:rowOff>
    </xdr:to>
    <xdr:pic>
      <xdr:nvPicPr>
        <xdr:cNvPr id="4" name="Imagen 3" descr="C:\Users\GARD11\OneDrive - Sodimac Colombia S.A\Escritorio\imagenes y fondos\TOOLKIT ORGULLO\Franco_Pensando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1" y="273051"/>
          <a:ext cx="488949" cy="479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669637</xdr:colOff>
      <xdr:row>1</xdr:row>
      <xdr:rowOff>127001</xdr:rowOff>
    </xdr:from>
    <xdr:to>
      <xdr:col>6</xdr:col>
      <xdr:colOff>1057615</xdr:colOff>
      <xdr:row>4</xdr:row>
      <xdr:rowOff>64706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9910" y="288637"/>
          <a:ext cx="445705" cy="445705"/>
        </a:xfrm>
        <a:prstGeom prst="rect">
          <a:avLst/>
        </a:prstGeom>
      </xdr:spPr>
    </xdr:pic>
    <xdr:clientData/>
  </xdr:twoCellAnchor>
  <xdr:twoCellAnchor editAs="oneCell">
    <xdr:from>
      <xdr:col>1</xdr:col>
      <xdr:colOff>324097</xdr:colOff>
      <xdr:row>1</xdr:row>
      <xdr:rowOff>174830</xdr:rowOff>
    </xdr:from>
    <xdr:to>
      <xdr:col>1</xdr:col>
      <xdr:colOff>1582702</xdr:colOff>
      <xdr:row>4</xdr:row>
      <xdr:rowOff>46183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3915" y="336466"/>
          <a:ext cx="1258605" cy="3793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1385456</xdr:colOff>
      <xdr:row>120</xdr:row>
      <xdr:rowOff>100446</xdr:rowOff>
    </xdr:from>
    <xdr:to>
      <xdr:col>7</xdr:col>
      <xdr:colOff>658092</xdr:colOff>
      <xdr:row>135</xdr:row>
      <xdr:rowOff>72737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710045</xdr:colOff>
      <xdr:row>151</xdr:row>
      <xdr:rowOff>31174</xdr:rowOff>
    </xdr:from>
    <xdr:to>
      <xdr:col>8</xdr:col>
      <xdr:colOff>1749136</xdr:colOff>
      <xdr:row>165</xdr:row>
      <xdr:rowOff>142010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490682</xdr:colOff>
      <xdr:row>171</xdr:row>
      <xdr:rowOff>31173</xdr:rowOff>
    </xdr:from>
    <xdr:to>
      <xdr:col>8</xdr:col>
      <xdr:colOff>1529773</xdr:colOff>
      <xdr:row>192</xdr:row>
      <xdr:rowOff>3464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620568</xdr:colOff>
      <xdr:row>100</xdr:row>
      <xdr:rowOff>135082</xdr:rowOff>
    </xdr:from>
    <xdr:to>
      <xdr:col>11</xdr:col>
      <xdr:colOff>1492057</xdr:colOff>
      <xdr:row>114</xdr:row>
      <xdr:rowOff>73027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 2">
              <a:extLst>
                <a:ext uri="{FF2B5EF4-FFF2-40B4-BE49-F238E27FC236}">
                  <a16:creationId xmlns:a16="http://schemas.microsoft.com/office/drawing/2014/main" id="{00000000-0008-0000-07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0235" y="19153332"/>
              <a:ext cx="1813406" cy="2456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265543</xdr:colOff>
      <xdr:row>193</xdr:row>
      <xdr:rowOff>175491</xdr:rowOff>
    </xdr:from>
    <xdr:to>
      <xdr:col>13</xdr:col>
      <xdr:colOff>507998</xdr:colOff>
      <xdr:row>208</xdr:row>
      <xdr:rowOff>147782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982326</xdr:colOff>
      <xdr:row>195</xdr:row>
      <xdr:rowOff>38292</xdr:rowOff>
    </xdr:from>
    <xdr:to>
      <xdr:col>7</xdr:col>
      <xdr:colOff>1556520</xdr:colOff>
      <xdr:row>208</xdr:row>
      <xdr:rowOff>160962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PS intervenida 1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PS interveni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1659" y="36561375"/>
              <a:ext cx="1823027" cy="2461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860137</xdr:colOff>
      <xdr:row>231</xdr:row>
      <xdr:rowOff>83126</xdr:rowOff>
    </xdr:from>
    <xdr:to>
      <xdr:col>9</xdr:col>
      <xdr:colOff>1460500</xdr:colOff>
      <xdr:row>245</xdr:row>
      <xdr:rowOff>147781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1346730</xdr:colOff>
      <xdr:row>101</xdr:row>
      <xdr:rowOff>96838</xdr:rowOff>
    </xdr:from>
    <xdr:to>
      <xdr:col>16</xdr:col>
      <xdr:colOff>520172</xdr:colOff>
      <xdr:row>115</xdr:row>
      <xdr:rowOff>173039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2</xdr:row>
      <xdr:rowOff>36285</xdr:rowOff>
    </xdr:from>
    <xdr:to>
      <xdr:col>1</xdr:col>
      <xdr:colOff>1072106</xdr:colOff>
      <xdr:row>4</xdr:row>
      <xdr:rowOff>9071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643" y="379185"/>
          <a:ext cx="990463" cy="290286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266701</xdr:colOff>
      <xdr:row>1</xdr:row>
      <xdr:rowOff>127001</xdr:rowOff>
    </xdr:from>
    <xdr:to>
      <xdr:col>13</xdr:col>
      <xdr:colOff>755650</xdr:colOff>
      <xdr:row>4</xdr:row>
      <xdr:rowOff>105252</xdr:rowOff>
    </xdr:to>
    <xdr:pic>
      <xdr:nvPicPr>
        <xdr:cNvPr id="3" name="Imagen 2" descr="C:\Users\GARD11\OneDrive - Sodimac Colombia S.A\Escritorio\imagenes y fondos\TOOLKIT ORGULLO\Franco_Pensando.p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1" y="285751"/>
          <a:ext cx="488949" cy="479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jan Arley Pardo Nieves" refreshedDate="45944.704255092591" createdVersion="6" refreshedVersion="6" minRefreshableVersion="3" recordCount="1" xr:uid="{00000000-000A-0000-FFFF-FFFF06000000}">
  <cacheSource type="worksheet">
    <worksheetSource ref="C81:M81" sheet="Nuevo Modelo2"/>
  </cacheSource>
  <cacheFields count="11">
    <cacheField name="MES" numFmtId="167">
      <sharedItems count="13">
        <s v="ENERO 2025"/>
        <s v="JULIO 2024" u="1"/>
        <s v="FEBRERO 2024" u="1"/>
        <s v="MAYO 2024" u="1"/>
        <s v="AGOSTO 2024" u="1"/>
        <s v="ENERO 2024" u="1"/>
        <s v="JUNIO2024" u="1"/>
        <s v="NOVIEMBRE 2024" u="1"/>
        <s v="DICIEMBRE 2024" u="1"/>
        <s v="SEPTIEMBRE 2024" u="1"/>
        <s v="MARZO 224" u="1"/>
        <s v="ABRIL 2024" u="1"/>
        <s v="OCTUBRE 2024" u="1"/>
      </sharedItems>
    </cacheField>
    <cacheField name="CRITERIO 1" numFmtId="173">
      <sharedItems containsSemiMixedTypes="0" containsString="0" containsNumber="1" minValue="42379011.362780966" maxValue="392556574.64387882" count="13">
        <n v="57831458.452896513"/>
        <n v="65408099.354388081" u="1"/>
        <n v="54645988.705541655" u="1"/>
        <n v="48127277.053978063" u="1"/>
        <n v="55803330.751698203" u="1"/>
        <n v="56047794.008204669" u="1"/>
        <n v="53210372.386347398" u="1"/>
        <n v="374903147.89324188" u="1"/>
        <n v="392556574.64387882" u="1"/>
        <n v="42379011.362780966" u="1"/>
        <n v="46317724.872353576" u="1"/>
        <n v="387651722.37529892" u="1"/>
        <n v="57486940.924893521" u="1"/>
      </sharedItems>
    </cacheField>
    <cacheField name="CRITERIO 2" numFmtId="173">
      <sharedItems containsSemiMixedTypes="0" containsString="0" containsNumber="1" minValue="0" maxValue="128415454" count="3">
        <n v="0"/>
        <n v="128415454" u="1"/>
        <n v="68278527.699999988" u="1"/>
      </sharedItems>
    </cacheField>
    <cacheField name="CRITERIO 3" numFmtId="173">
      <sharedItems containsSemiMixedTypes="0" containsString="0" containsNumber="1" minValue="40060324.406758122" maxValue="1303751240.0999994" count="14">
        <n v="1049079466.8000002"/>
        <n v="968446302.30000007" u="1"/>
        <n v="1233022725.6999998" u="1"/>
        <n v="1303751240.0999994" u="1"/>
        <n v="60473832.300000004" u="1"/>
        <n v="1081342179" u="1"/>
        <n v="1093286237.3999999" u="1"/>
        <n v="1291615729.6000004" u="1"/>
        <n v="61611474.600000001" u="1"/>
        <n v="1071190682.1" u="1"/>
        <n v="1153663827.2999997" u="1"/>
        <n v="1083812943.5999997" u="1"/>
        <n v="40060324.406758122" u="1"/>
        <n v="1081867581.0000002" u="1"/>
      </sharedItems>
    </cacheField>
    <cacheField name="TOTAL PROVISIÓN MODELO PERDIDA ESPERADA" numFmtId="173">
      <sharedItems containsSemiMixedTypes="0" containsString="0" containsNumber="1" minValue="483242000" maxValue="1358397228.805541" count="14">
        <n v="1106910925.2528968"/>
        <n v="1158694336.7543879" u="1"/>
        <n v="1349102670.524894" u="1"/>
        <n v="1127659903.8723536" u="1"/>
        <n v="1224259300" u="1"/>
        <n v="1124401054.4863474" u="1"/>
        <n v="1024249633.0516983" u="1"/>
        <n v="1149221042.9543877" u="1"/>
        <n v="1209711621.3082044" u="1"/>
        <n v="581446000" u="1"/>
        <n v="483242000" u="1"/>
        <n v="1124246592.3627813" u="1"/>
        <n v="577679000" u="1"/>
        <n v="1358397228.805541" u="1"/>
      </sharedItems>
    </cacheField>
    <cacheField name="PROVISIÓN ACTUAL" numFmtId="173">
      <sharedItems containsSemiMixedTypes="0" containsString="0" containsNumber="1" containsInteger="1" minValue="618385000" maxValue="1349103000" count="13">
        <n v="1158694000"/>
        <n v="618385000" u="1"/>
        <n v="756440000" u="1"/>
        <n v="1094375000" u="1"/>
        <n v="684946000" u="1"/>
        <n v="686551000" u="1"/>
        <n v="1281150000" u="1"/>
        <n v="954673000" u="1"/>
        <n v="811217000" u="1"/>
        <n v="784755000" u="1"/>
        <n v="1349103000" u="1"/>
        <n v="774813000" u="1"/>
        <n v="1155145000" u="1"/>
      </sharedItems>
    </cacheField>
    <cacheField name="AJUSTE A LA PROVISION " numFmtId="173">
      <sharedItems containsSemiMixedTypes="0" containsString="0" containsNumber="1" containsInteger="1" minValue="-51783100" maxValue="186775000" count="14">
        <n v="-51783100"/>
        <n v="9942000" u="1"/>
        <n v="3549300" u="1"/>
        <n v="143456000" u="1"/>
        <n v="126271000" u="1"/>
        <n v="9294200" u="1"/>
        <n v="-5924000" u="1"/>
        <n v="68166000" u="1"/>
        <n v="139702100" u="1"/>
        <n v="69889000" u="1"/>
        <n v="186775000" u="1"/>
        <n v="67952700" u="1"/>
        <n v="68055000" u="1"/>
        <n v="-3767000" u="1"/>
      </sharedItems>
    </cacheField>
    <cacheField name="PROVISIÓN FINAL" numFmtId="173">
      <sharedItems containsSemiMixedTypes="0" containsString="0" containsNumber="1" containsInteger="1" minValue="686551000" maxValue="1358397200" count="14">
        <n v="1106910900"/>
        <n v="954673200" u="1"/>
        <n v="1358397200" u="1"/>
        <n v="756440000" u="1"/>
        <n v="1349102700" u="1"/>
        <n v="686551000" u="1"/>
        <n v="1281150000" u="1"/>
        <n v="1158694300" u="1"/>
        <n v="811217000" u="1"/>
        <n v="784755000" u="1"/>
        <n v="1094375100" u="1"/>
        <n v="780988000" u="1"/>
        <n v="1149221000" u="1"/>
        <n v="824495000" u="1"/>
      </sharedItems>
    </cacheField>
    <cacheField name="RECAUDO" numFmtId="173">
      <sharedItems containsSemiMixedTypes="0" containsString="0" containsNumber="1" containsInteger="1" minValue="122330374" maxValue="293135847" count="13">
        <n v="293135847"/>
        <n v="224465967" u="1"/>
        <n v="180618914" u="1"/>
        <n v="172746295" u="1"/>
        <n v="155720180" u="1"/>
        <n v="157068778" u="1"/>
        <n v="205615651" u="1"/>
        <n v="189628881" u="1"/>
        <n v="123694311" u="1"/>
        <n v="122330374" u="1"/>
        <n v="165055182" u="1"/>
        <n v="183387574" u="1"/>
        <n v="150154070" u="1"/>
      </sharedItems>
    </cacheField>
    <cacheField name="SALDO CONTABLE POR MES" numFmtId="173">
      <sharedItems containsSemiMixedTypes="0" containsString="0" containsNumber="1" containsInteger="1" minValue="1231303460" maxValue="1532827560" count="14">
        <n v="1443511348"/>
        <n v="1231303460" u="1"/>
        <n v="1315298308" u="1"/>
        <n v="1281480170" u="1"/>
        <n v="1337100352" u="1"/>
        <n v="1400394588" u="1"/>
        <n v="1441637977" u="1"/>
        <n v="1532827560" u="1"/>
        <n v="1396470738" u="1"/>
        <n v="1494454722" u="1"/>
        <n v="1287184695" u="1"/>
        <n v="1378619137" u="1"/>
        <n v="1408205062" u="1"/>
        <n v="1344457169" u="1"/>
      </sharedItems>
    </cacheField>
    <cacheField name="PROVISION VS CARTERA" numFmtId="9">
      <sharedItems containsSemiMixedTypes="0" containsString="0" containsNumber="1" minValue="0.76681828759686343" maxValue="0.76681828759686343"/>
    </cacheField>
  </cacheFields>
  <extLst>
    <ext xmlns:x14="http://schemas.microsoft.com/office/spreadsheetml/2009/9/main" uri="{725AE2AE-9491-48be-B2B4-4EB974FC3084}">
      <x14:pivotCacheDefinition pivotCacheId="2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nifer Paola Cardenas Lopez" refreshedDate="45944.711836805553" createdVersion="6" refreshedVersion="6" minRefreshableVersion="3" recordCount="7" xr:uid="{00000000-000A-0000-FFFF-FFFF07000000}">
  <cacheSource type="worksheet">
    <worksheetSource ref="C81:M88" sheet="Nuevo Modelo2"/>
  </cacheSource>
  <cacheFields count="11">
    <cacheField name="MES" numFmtId="0">
      <sharedItems count="9">
        <s v="MARZO 2025"/>
        <s v="ABRIL 2025"/>
        <s v="MAYO 2025"/>
        <s v="JUNIO 2025"/>
        <s v="JULIO 2025"/>
        <s v="AGOSTO 2025"/>
        <s v="SEPTIEMBRE 2025"/>
        <s v="ENERO 2025" u="1"/>
        <s v="FEBRERO 2025" u="1"/>
      </sharedItems>
    </cacheField>
    <cacheField name="CRITERIO 1" numFmtId="173">
      <sharedItems containsSemiMixedTypes="0" containsString="0" containsNumber="1" minValue="57831458.452896513" maxValue="137261987.8880094" count="9">
        <n v="61831570.171090469"/>
        <n v="86838136.09129405"/>
        <n v="84014618.309578866"/>
        <n v="85571037.808511838"/>
        <n v="77071845.348754644"/>
        <n v="85527230.802210227"/>
        <n v="137261987.8880094"/>
        <n v="57831458.452896513" u="1"/>
        <n v="64430768.836923286" u="1"/>
      </sharedItems>
    </cacheField>
    <cacheField name="CRITERIO 2" numFmtId="173">
      <sharedItems containsSemiMixedTypes="0" containsString="0" containsNumber="1" containsInteger="1" minValue="0" maxValue="0" count="1">
        <n v="0"/>
      </sharedItems>
    </cacheField>
    <cacheField name="CRITERIO 3" numFmtId="173">
      <sharedItems containsSemiMixedTypes="0" containsString="0" containsNumber="1" minValue="1042024652.9999995" maxValue="1121567195.7" count="9">
        <n v="1096357799.7"/>
        <n v="1106417348.9999998"/>
        <n v="1093690701.9000008"/>
        <n v="1097008078.5000005"/>
        <n v="1042024652.9999995"/>
        <n v="1068378994.8000002"/>
        <n v="1091976367.5000005"/>
        <n v="1049079466.8000002" u="1"/>
        <n v="1121567195.7" u="1"/>
      </sharedItems>
    </cacheField>
    <cacheField name="TOTAL PROVISIÓN MODELO PERDIDA ESPERADA" numFmtId="173">
      <sharedItems containsSemiMixedTypes="0" containsString="0" containsNumber="1" minValue="1106910925.2528968" maxValue="1229238355.3880098" count="9">
        <n v="1158189369.8710904"/>
        <n v="1193255485.0912938"/>
        <n v="1177705320.2095797"/>
        <n v="1182579116.3085122"/>
        <n v="1119096498.3487501"/>
        <n v="1153906225.6022105"/>
        <n v="1229238355.3880098"/>
        <n v="1185997964.5369234" u="1"/>
        <n v="1106910925.2528968" u="1"/>
      </sharedItems>
    </cacheField>
    <cacheField name="PROVISIÓN ACTUAL" numFmtId="173">
      <sharedItems containsSemiMixedTypes="0" containsString="0" containsNumber="1" containsInteger="1" minValue="75332400" maxValue="1193256000" count="9">
        <n v="1185998000"/>
        <n v="1158189000"/>
        <n v="1193256000"/>
        <n v="1177705000"/>
        <n v="1182579000"/>
        <n v="1119097000"/>
        <n v="75332400"/>
        <n v="1158694000" u="1"/>
        <n v="1106911000" u="1"/>
      </sharedItems>
    </cacheField>
    <cacheField name="AJUSTE A LA PROVISION " numFmtId="173">
      <sharedItems containsSemiMixedTypes="0" containsString="0" containsNumber="1" containsInteger="1" minValue="-63482500" maxValue="79087000" count="9">
        <n v="-27808600"/>
        <n v="35066500"/>
        <n v="-15550700"/>
        <n v="4874100"/>
        <n v="-63482500"/>
        <n v="34809200"/>
        <n v="75332400"/>
        <n v="-51783100" u="1"/>
        <n v="79087000" u="1"/>
      </sharedItems>
    </cacheField>
    <cacheField name="PROVISIÓN FINAL" numFmtId="173">
      <sharedItems containsSemiMixedTypes="0" containsString="0" containsNumber="1" containsInteger="1" minValue="1106910900" maxValue="1229238400" count="9">
        <n v="1158189400"/>
        <n v="1193255500"/>
        <n v="1177705300"/>
        <n v="1182579100"/>
        <n v="1119096500"/>
        <n v="1153906200"/>
        <n v="1229238400"/>
        <n v="1106910900" u="1"/>
        <n v="1185998000" u="1"/>
      </sharedItems>
    </cacheField>
    <cacheField name="RECAUDO" numFmtId="173">
      <sharedItems containsSemiMixedTypes="0" containsString="0" containsNumber="1" containsInteger="1" minValue="160786555" maxValue="297209276" count="8">
        <n v="226734437"/>
        <n v="172548411"/>
        <n v="281386638"/>
        <n v="219874012"/>
        <n v="297209276"/>
        <n v="160786555"/>
        <n v="293135847" u="1"/>
        <n v="199258218" u="1"/>
      </sharedItems>
    </cacheField>
    <cacheField name="SALDO CONTABLE POR MES" numFmtId="173">
      <sharedItems containsSemiMixedTypes="0" containsString="0" containsNumber="1" containsInteger="1" minValue="1400699685" maxValue="1525494146" count="9">
        <n v="1437679025"/>
        <n v="1525494146"/>
        <n v="1499516292"/>
        <n v="1467717280"/>
        <n v="1400699685"/>
        <n v="1450984915"/>
        <n v="1412815123"/>
        <n v="1443511348" u="1"/>
        <n v="1464528214" u="1"/>
      </sharedItems>
    </cacheField>
    <cacheField name="PROVISION VS CARTERA" numFmtId="9">
      <sharedItems containsSemiMixedTypes="0" containsString="0" containsNumber="1" minValue="0.78220916358731152" maxValue="0.87006316678562334"/>
    </cacheField>
  </cacheFields>
  <extLst>
    <ext xmlns:x14="http://schemas.microsoft.com/office/spreadsheetml/2009/9/main" uri="{725AE2AE-9491-48be-B2B4-4EB974FC3084}">
      <x14:pivotCacheDefinition pivotCacheId="3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nifer Paola Cardenas Lopez" refreshedDate="45944.711839467593" createdVersion="6" refreshedVersion="6" minRefreshableVersion="3" recordCount="190" xr:uid="{00000000-000A-0000-FFFF-FFFF08000000}">
  <cacheSource type="worksheet">
    <worksheetSource ref="D1:AQ191" sheet="PAGOS"/>
  </cacheSource>
  <cacheFields count="42">
    <cacheField name="Fecha de documento" numFmtId="14">
      <sharedItems containsSemiMixedTypes="0" containsNonDate="0" containsDate="1" containsString="0" minDate="2024-01-23T00:00:00" maxDate="2025-02-01T00:00:00" count="14">
        <d v="2024-01-23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</sharedItems>
      <fieldGroup par="41" base="0">
        <rangePr groupBy="months" startDate="2024-01-23T00:00:00" endDate="2025-02-01T00:00:00"/>
        <groupItems count="14">
          <s v="&lt;23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2/2025"/>
        </groupItems>
      </fieldGroup>
    </cacheField>
    <cacheField name="Fecha de contabilizacion" numFmtId="14">
      <sharedItems containsSemiMixedTypes="0" containsNonDate="0" containsDate="1" containsString="0" minDate="2024-01-23T00:00:00" maxDate="2025-02-01T00:00:00"/>
    </cacheField>
    <cacheField name="Referencia" numFmtId="0">
      <sharedItems/>
    </cacheField>
    <cacheField name="Sociedad" numFmtId="0">
      <sharedItems/>
    </cacheField>
    <cacheField name="Norm. Pres. Ctas" numFmtId="0">
      <sharedItems containsNonDate="0" containsString="0" containsBlank="1"/>
    </cacheField>
    <cacheField name="Posición" numFmtId="0">
      <sharedItems containsSemiMixedTypes="0" containsString="0" containsNumber="1" containsInteger="1" minValue="2" maxValue="260"/>
    </cacheField>
    <cacheField name="Tipo de cuenta" numFmtId="0">
      <sharedItems/>
    </cacheField>
    <cacheField name="Cuenta" numFmtId="0">
      <sharedItems containsSemiMixedTypes="0" containsString="0" containsNumber="1" containsInteger="1" minValue="1533010002" maxValue="1533010002"/>
    </cacheField>
    <cacheField name="Activo Fijo" numFmtId="0">
      <sharedItems containsNonDate="0" containsString="0" containsBlank="1"/>
    </cacheField>
    <cacheField name="Sub Numero Activo Fijo" numFmtId="0">
      <sharedItems containsNonDate="0" containsString="0" containsBlank="1"/>
    </cacheField>
    <cacheField name="Clase Movimiento AF" numFmtId="0">
      <sharedItems containsNonDate="0" containsString="0" containsBlank="1"/>
    </cacheField>
    <cacheField name="Fecha Ref AA" numFmtId="0">
      <sharedItems containsNonDate="0" containsString="0" containsBlank="1"/>
    </cacheField>
    <cacheField name="Indicador CME" numFmtId="0">
      <sharedItems containsNonDate="0" containsString="0" containsBlank="1"/>
    </cacheField>
    <cacheField name="Area Funcional" numFmtId="0">
      <sharedItems containsNonDate="0" containsString="0" containsBlank="1"/>
    </cacheField>
    <cacheField name="Grafo" numFmtId="0">
      <sharedItems containsNonDate="0" containsString="0" containsBlank="1"/>
    </cacheField>
    <cacheField name="Num Operacion" numFmtId="0">
      <sharedItems containsNonDate="0" containsString="0" containsBlank="1"/>
    </cacheField>
    <cacheField name="Importe" numFmtId="167">
      <sharedItems containsSemiMixedTypes="0" containsString="0" containsNumber="1" containsInteger="1" minValue="-101919538" maxValue="5998997"/>
    </cacheField>
    <cacheField name="Moneda" numFmtId="0">
      <sharedItems/>
    </cacheField>
    <cacheField name="T/C" numFmtId="0">
      <sharedItems containsNonDate="0" containsString="0" containsBlank="1"/>
    </cacheField>
    <cacheField name="Fecha Conversion" numFmtId="0">
      <sharedItems containsNonDate="0" containsString="0" containsBlank="1"/>
    </cacheField>
    <cacheField name="Indicador impuestos" numFmtId="0">
      <sharedItems containsNonDate="0" containsString="0" containsBlank="1"/>
    </cacheField>
    <cacheField name="Tipo de Retencion" numFmtId="0">
      <sharedItems containsNonDate="0" containsString="0" containsBlank="1"/>
    </cacheField>
    <cacheField name="Ind de Retencion" numFmtId="0">
      <sharedItems containsNonDate="0" containsString="0" containsBlank="1"/>
    </cacheField>
    <cacheField name="Base Ret" numFmtId="0">
      <sharedItems containsNonDate="0" containsString="0" containsBlank="1"/>
    </cacheField>
    <cacheField name="Centro de coste" numFmtId="0">
      <sharedItems containsNonDate="0" containsString="0" containsBlank="1"/>
    </cacheField>
    <cacheField name="Centro de Beneficio" numFmtId="0">
      <sharedItems/>
    </cacheField>
    <cacheField name="Elemento PEP" numFmtId="0">
      <sharedItems containsNonDate="0" containsString="0" containsBlank="1"/>
    </cacheField>
    <cacheField name="Orden CO" numFmtId="0">
      <sharedItems containsNonDate="0" containsString="0" containsBlank="1"/>
    </cacheField>
    <cacheField name="Fecha Valor" numFmtId="0">
      <sharedItems containsSemiMixedTypes="0" containsString="0" containsNumber="1" containsInteger="1" minValue="20230531" maxValue="20250131"/>
    </cacheField>
    <cacheField name="Banco Propio" numFmtId="0">
      <sharedItems containsNonDate="0" containsString="0" containsBlank="1"/>
    </cacheField>
    <cacheField name="ID de Cuenta" numFmtId="0">
      <sharedItems containsNonDate="0" containsString="0" containsBlank="1"/>
    </cacheField>
    <cacheField name="Asignacion" numFmtId="0">
      <sharedItems containsSemiMixedTypes="0" containsString="0" containsNumber="1" containsInteger="1" minValue="20230531" maxValue="20250131"/>
    </cacheField>
    <cacheField name="Clave Ref 1" numFmtId="0">
      <sharedItems containsSemiMixedTypes="0" containsString="0" containsNumber="1" containsInteger="1" minValue="1019098648" maxValue="9010974735"/>
    </cacheField>
    <cacheField name="Clave Ref 2" numFmtId="0">
      <sharedItems containsNonDate="0" containsString="0" containsBlank="1"/>
    </cacheField>
    <cacheField name="Clave Ref 3" numFmtId="0">
      <sharedItems containsNonDate="0" containsString="0" containsBlank="1"/>
    </cacheField>
    <cacheField name="Texto Posicion" numFmtId="0">
      <sharedItems/>
    </cacheField>
    <cacheField name="Sociedad GL" numFmtId="0">
      <sharedItems containsNonDate="0" containsString="0" containsBlank="1"/>
    </cacheField>
    <cacheField name="EPS intervenida" numFmtId="43">
      <sharedItems containsMixedTypes="1" containsNumber="1" containsInteger="1" minValue="0" maxValue="0" count="7">
        <n v="0"/>
        <s v="SANITAS"/>
        <s v="EMSSANAR"/>
        <s v="FAMISANAR"/>
        <s v="COMPENSAR"/>
        <s v="NUEVA E.P.S."/>
        <s v="EPS SURA (ANTES SUSALUD)"/>
      </sharedItems>
    </cacheField>
    <cacheField name="Valor" numFmtId="167">
      <sharedItems containsSemiMixedTypes="0" containsString="0" containsNumber="1" containsInteger="1" minValue="29688" maxValue="101919538"/>
    </cacheField>
    <cacheField name="Mes" numFmtId="0">
      <sharedItems containsSemiMixedTypes="0" containsString="0" containsNumber="1" containsInteger="1" minValue="1" maxValue="12"/>
    </cacheField>
    <cacheField name="Trimestres" numFmtId="0" databaseField="0">
      <fieldGroup base="0">
        <rangePr groupBy="quarters" startDate="2024-01-23T00:00:00" endDate="2025-02-01T00:00:00"/>
        <groupItems count="6">
          <s v="&lt;23/01/2024"/>
          <s v="Trim.1"/>
          <s v="Trim.2"/>
          <s v="Trim.3"/>
          <s v="Trim.4"/>
          <s v="&gt;1/02/2025"/>
        </groupItems>
      </fieldGroup>
    </cacheField>
    <cacheField name="Años" numFmtId="0" databaseField="0">
      <fieldGroup base="0">
        <rangePr groupBy="years" startDate="2024-01-23T00:00:00" endDate="2025-02-01T00:00:00"/>
        <groupItems count="4">
          <s v="&lt;23/01/2024"/>
          <s v="2024"/>
          <s v="2025"/>
          <s v="&gt;1/02/2025"/>
        </groupItems>
      </fieldGroup>
    </cacheField>
  </cacheFields>
  <extLst>
    <ext xmlns:x14="http://schemas.microsoft.com/office/spreadsheetml/2009/9/main" uri="{725AE2AE-9491-48be-B2B4-4EB974FC3084}">
      <x14:pivotCacheDefinition pivotCacheId="2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nifer Paola Cardenas Lopez" refreshedDate="45944.737387152774" createdVersion="6" refreshedVersion="6" minRefreshableVersion="3" recordCount="617" xr:uid="{00000000-000A-0000-FFFF-FFFF09000000}">
  <cacheSource type="worksheet">
    <worksheetSource ref="A1:AQ618" sheet="PAGOS"/>
  </cacheSource>
  <cacheFields count="45">
    <cacheField name="Documento" numFmtId="0">
      <sharedItems containsSemiMixedTypes="0" containsString="0" containsNumber="1" containsInteger="1" minValue="1" maxValue="7"/>
    </cacheField>
    <cacheField name="Clase de documento" numFmtId="0">
      <sharedItems/>
    </cacheField>
    <cacheField name="Texto de Cabecera" numFmtId="0">
      <sharedItems/>
    </cacheField>
    <cacheField name="Fecha de documento" numFmtId="14">
      <sharedItems containsSemiMixedTypes="0" containsNonDate="0" containsDate="1" containsString="0" minDate="2024-01-23T00:00:00" maxDate="2025-10-01T00:00:00" count="22">
        <d v="2024-01-23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</sharedItems>
      <fieldGroup par="44" base="3">
        <rangePr groupBy="months" startDate="2024-01-23T00:00:00" endDate="2025-10-01T00:00:00"/>
        <groupItems count="14">
          <s v="&lt;23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0/2025"/>
        </groupItems>
      </fieldGroup>
    </cacheField>
    <cacheField name="Fecha de contabilizacion" numFmtId="14">
      <sharedItems containsSemiMixedTypes="0" containsNonDate="0" containsDate="1" containsString="0" minDate="2024-01-23T00:00:00" maxDate="2025-10-01T00:00:00"/>
    </cacheField>
    <cacheField name="Referencia" numFmtId="0">
      <sharedItems/>
    </cacheField>
    <cacheField name="Sociedad" numFmtId="0">
      <sharedItems/>
    </cacheField>
    <cacheField name="Norm. Pres. Ctas" numFmtId="0">
      <sharedItems containsNonDate="0" containsString="0" containsBlank="1"/>
    </cacheField>
    <cacheField name="Posición" numFmtId="0">
      <sharedItems containsSemiMixedTypes="0" containsString="0" containsNumber="1" containsInteger="1" minValue="2" maxValue="617"/>
    </cacheField>
    <cacheField name="Tipo de cuenta" numFmtId="0">
      <sharedItems/>
    </cacheField>
    <cacheField name="Cuenta" numFmtId="0">
      <sharedItems containsSemiMixedTypes="0" containsString="0" containsNumber="1" containsInteger="1" minValue="1533010002" maxValue="1533010002"/>
    </cacheField>
    <cacheField name="Activo Fijo" numFmtId="0">
      <sharedItems containsNonDate="0" containsString="0" containsBlank="1"/>
    </cacheField>
    <cacheField name="Sub Numero Activo Fijo" numFmtId="0">
      <sharedItems containsNonDate="0" containsString="0" containsBlank="1"/>
    </cacheField>
    <cacheField name="Clase Movimiento AF" numFmtId="0">
      <sharedItems containsNonDate="0" containsString="0" containsBlank="1"/>
    </cacheField>
    <cacheField name="Fecha Ref AA" numFmtId="0">
      <sharedItems containsNonDate="0" containsString="0" containsBlank="1"/>
    </cacheField>
    <cacheField name="Indicador CME" numFmtId="0">
      <sharedItems containsNonDate="0" containsString="0" containsBlank="1"/>
    </cacheField>
    <cacheField name="Area Funcional" numFmtId="0">
      <sharedItems containsNonDate="0" containsString="0" containsBlank="1"/>
    </cacheField>
    <cacheField name="Grafo" numFmtId="0">
      <sharedItems containsNonDate="0" containsString="0" containsBlank="1"/>
    </cacheField>
    <cacheField name="Num Operacion" numFmtId="0">
      <sharedItems containsNonDate="0" containsString="0" containsBlank="1"/>
    </cacheField>
    <cacheField name="Importe" numFmtId="0">
      <sharedItems containsSemiMixedTypes="0" containsString="0" containsNumber="1" containsInteger="1" minValue="-295802141" maxValue="5998997"/>
    </cacheField>
    <cacheField name="Moneda" numFmtId="0">
      <sharedItems/>
    </cacheField>
    <cacheField name="T/C" numFmtId="0">
      <sharedItems containsNonDate="0" containsString="0" containsBlank="1"/>
    </cacheField>
    <cacheField name="Fecha Conversion" numFmtId="0">
      <sharedItems containsNonDate="0" containsString="0" containsBlank="1"/>
    </cacheField>
    <cacheField name="Indicador impuestos" numFmtId="0">
      <sharedItems containsNonDate="0" containsString="0" containsBlank="1"/>
    </cacheField>
    <cacheField name="Tipo de Retencion" numFmtId="0">
      <sharedItems containsNonDate="0" containsString="0" containsBlank="1"/>
    </cacheField>
    <cacheField name="Ind de Retencion" numFmtId="0">
      <sharedItems containsNonDate="0" containsString="0" containsBlank="1"/>
    </cacheField>
    <cacheField name="Base Ret" numFmtId="0">
      <sharedItems containsNonDate="0" containsString="0" containsBlank="1"/>
    </cacheField>
    <cacheField name="Centro de coste" numFmtId="0">
      <sharedItems containsNonDate="0" containsString="0" containsBlank="1"/>
    </cacheField>
    <cacheField name="Centro de Beneficio" numFmtId="0">
      <sharedItems/>
    </cacheField>
    <cacheField name="Elemento PEP" numFmtId="0">
      <sharedItems containsNonDate="0" containsString="0" containsBlank="1"/>
    </cacheField>
    <cacheField name="Orden CO" numFmtId="0">
      <sharedItems containsNonDate="0" containsString="0" containsBlank="1"/>
    </cacheField>
    <cacheField name="Fecha Valor" numFmtId="0">
      <sharedItems containsSemiMixedTypes="0" containsString="0" containsNumber="1" containsInteger="1" minValue="20230531" maxValue="20250930"/>
    </cacheField>
    <cacheField name="Banco Propio" numFmtId="0">
      <sharedItems containsNonDate="0" containsString="0" containsBlank="1"/>
    </cacheField>
    <cacheField name="ID de Cuenta" numFmtId="0">
      <sharedItems containsNonDate="0" containsString="0" containsBlank="1"/>
    </cacheField>
    <cacheField name="Asignacion" numFmtId="0">
      <sharedItems containsSemiMixedTypes="0" containsString="0" containsNumber="1" containsInteger="1" minValue="20230531" maxValue="20250930"/>
    </cacheField>
    <cacheField name="Clave Ref 1" numFmtId="0">
      <sharedItems containsString="0" containsBlank="1" containsNumber="1" containsInteger="1" minValue="42162384" maxValue="9015437615"/>
    </cacheField>
    <cacheField name="Clave Ref 2" numFmtId="0">
      <sharedItems containsString="0" containsBlank="1" containsNumber="1" containsInteger="1" minValue="8000887022" maxValue="9009142541"/>
    </cacheField>
    <cacheField name="Clave Ref 3" numFmtId="0">
      <sharedItems containsNonDate="0" containsString="0" containsBlank="1"/>
    </cacheField>
    <cacheField name="Texto Posicion" numFmtId="0">
      <sharedItems/>
    </cacheField>
    <cacheField name="Sociedad GL" numFmtId="0">
      <sharedItems containsNonDate="0" containsString="0" containsBlank="1"/>
    </cacheField>
    <cacheField name="EPS intervenida" numFmtId="0">
      <sharedItems containsBlank="1" containsMixedTypes="1" containsNumber="1" containsInteger="1" minValue="0" maxValue="0" count="8">
        <n v="0"/>
        <s v="SANITAS"/>
        <s v="EMSSANAR"/>
        <s v="FAMISANAR"/>
        <s v="COMPENSAR"/>
        <s v="NUEVA E.P.S."/>
        <s v="EPS SURA (ANTES SUSALUD)"/>
        <m/>
      </sharedItems>
    </cacheField>
    <cacheField name="Valor" numFmtId="167">
      <sharedItems containsSemiMixedTypes="0" containsString="0" containsNumber="1" containsInteger="1" minValue="29688" maxValue="295802141"/>
    </cacheField>
    <cacheField name="Mes" numFmtId="0">
      <sharedItems containsSemiMixedTypes="0" containsString="0" containsNumber="1" containsInteger="1" minValue="1" maxValue="12"/>
    </cacheField>
    <cacheField name="Trimestres" numFmtId="0" databaseField="0">
      <fieldGroup base="3">
        <rangePr groupBy="quarters" startDate="2024-01-23T00:00:00" endDate="2025-10-01T00:00:00"/>
        <groupItems count="6">
          <s v="&lt;23/01/2024"/>
          <s v="Trim.1"/>
          <s v="Trim.2"/>
          <s v="Trim.3"/>
          <s v="Trim.4"/>
          <s v="&gt;1/10/2025"/>
        </groupItems>
      </fieldGroup>
    </cacheField>
    <cacheField name="Años" numFmtId="0" databaseField="0">
      <fieldGroup base="3">
        <rangePr groupBy="years" startDate="2024-01-23T00:00:00" endDate="2025-10-01T00:00:00"/>
        <groupItems count="4">
          <s v="&lt;23/01/2024"/>
          <s v="2024"/>
          <s v="2025"/>
          <s v="&gt;1/10/2025"/>
        </groupItems>
      </fieldGroup>
    </cacheField>
  </cacheFields>
  <extLst>
    <ext xmlns:x14="http://schemas.microsoft.com/office/spreadsheetml/2009/9/main" uri="{725AE2AE-9491-48be-B2B4-4EB974FC3084}">
      <x14:pivotCacheDefinition pivotCacheId="40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nifer Paola Cardenas Lopez" refreshedDate="45944.744194444444" createdVersion="6" refreshedVersion="6" minRefreshableVersion="3" recordCount="27" xr:uid="{00000000-000A-0000-FFFF-FFFF0A000000}">
  <cacheSource type="worksheet">
    <worksheetSource ref="D84:G111" sheet="Resumen General x Edades"/>
  </cacheSource>
  <cacheFields count="4">
    <cacheField name="Fondo/Mes" numFmtId="0">
      <sharedItems containsBlank="1" count="12">
        <s v="CAPRESOCA"/>
        <s v="COLPATRIA ARP"/>
        <s v="COMPENSAR"/>
        <s v="COOSALUD EPS"/>
        <s v="EMPRESAS PUBLICAS DE MEDELLIN DEPARTAMENTO MEDICO"/>
        <s v="FAMISANAR"/>
        <s v="NUEVA E.P.S."/>
        <s v="S.O.S"/>
        <s v="SANITAS"/>
        <s v="SAVIA SALUD - AMA"/>
        <s v="COMFENALCO VALLE"/>
        <m u="1"/>
      </sharedItems>
    </cacheField>
    <cacheField name="Valor" numFmtId="167">
      <sharedItems containsSemiMixedTypes="0" containsString="0" containsNumber="1" containsInteger="1" minValue="33449" maxValue="13302223"/>
    </cacheField>
    <cacheField name="Fecha" numFmtId="14">
      <sharedItems containsDate="1" containsMixedTypes="1" minDate="2023-09-01T00:00:00" maxDate="2025-09-11T00:00:00"/>
    </cacheField>
    <cacheField name="Observa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x v="0"/>
    <x v="0"/>
    <x v="0"/>
    <x v="0"/>
    <x v="0"/>
    <x v="0"/>
    <n v="0.766818287596863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x v="0"/>
    <x v="0"/>
    <x v="0"/>
    <x v="0"/>
    <x v="0"/>
    <x v="0"/>
    <n v="0.80559664560731836"/>
  </r>
  <r>
    <x v="1"/>
    <x v="1"/>
    <x v="0"/>
    <x v="1"/>
    <x v="1"/>
    <x v="1"/>
    <x v="1"/>
    <x v="1"/>
    <x v="1"/>
    <x v="1"/>
    <n v="0.78220916358731152"/>
  </r>
  <r>
    <x v="2"/>
    <x v="2"/>
    <x v="0"/>
    <x v="2"/>
    <x v="2"/>
    <x v="2"/>
    <x v="2"/>
    <x v="2"/>
    <x v="2"/>
    <x v="2"/>
    <n v="0.78539013299363336"/>
  </r>
  <r>
    <x v="3"/>
    <x v="3"/>
    <x v="0"/>
    <x v="3"/>
    <x v="3"/>
    <x v="3"/>
    <x v="3"/>
    <x v="3"/>
    <x v="3"/>
    <x v="3"/>
    <n v="0.80572676776006891"/>
  </r>
  <r>
    <x v="4"/>
    <x v="4"/>
    <x v="0"/>
    <x v="4"/>
    <x v="4"/>
    <x v="4"/>
    <x v="4"/>
    <x v="4"/>
    <x v="4"/>
    <x v="4"/>
    <n v="0.79895534494962062"/>
  </r>
  <r>
    <x v="5"/>
    <x v="5"/>
    <x v="0"/>
    <x v="5"/>
    <x v="5"/>
    <x v="5"/>
    <x v="5"/>
    <x v="5"/>
    <x v="5"/>
    <x v="5"/>
    <n v="0.79525719948646056"/>
  </r>
  <r>
    <x v="6"/>
    <x v="6"/>
    <x v="0"/>
    <x v="6"/>
    <x v="6"/>
    <x v="6"/>
    <x v="6"/>
    <x v="6"/>
    <x v="4"/>
    <x v="6"/>
    <n v="0.8700631667856233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d v="2024-01-23T00:00:00"/>
    <s v="Reclasf. Reg"/>
    <s v="O003"/>
    <m/>
    <n v="2"/>
    <s v="S"/>
    <n v="1533010002"/>
    <m/>
    <m/>
    <m/>
    <m/>
    <m/>
    <m/>
    <m/>
    <m/>
    <n v="3499600"/>
    <s v="COP"/>
    <m/>
    <m/>
    <m/>
    <m/>
    <m/>
    <m/>
    <m/>
    <s v="O003001452"/>
    <m/>
    <m/>
    <n v="20230531"/>
    <m/>
    <m/>
    <n v="20230531"/>
    <n v="8903030935"/>
    <m/>
    <m/>
    <s v="PAGO DE PROV CAJA VALLE DEL CAUCA"/>
    <m/>
    <x v="0"/>
    <n v="3499600"/>
    <n v="1"/>
  </r>
  <r>
    <x v="1"/>
    <d v="2024-01-31T00:00:00"/>
    <s v="PAGO INCAP"/>
    <s v="O003"/>
    <m/>
    <n v="47"/>
    <s v="S"/>
    <n v="1533010002"/>
    <m/>
    <m/>
    <m/>
    <m/>
    <m/>
    <m/>
    <m/>
    <m/>
    <n v="-39028523"/>
    <s v="COP"/>
    <m/>
    <m/>
    <m/>
    <m/>
    <m/>
    <m/>
    <m/>
    <s v="O003001452"/>
    <m/>
    <m/>
    <n v="20240131"/>
    <m/>
    <m/>
    <n v="20240131"/>
    <n v="8001309074"/>
    <m/>
    <m/>
    <s v="PAGO DE PROV SALUD TOTAL EPS"/>
    <m/>
    <x v="0"/>
    <n v="39028523"/>
    <n v="1"/>
  </r>
  <r>
    <x v="1"/>
    <d v="2024-01-31T00:00:00"/>
    <s v="PAGO INCAP"/>
    <s v="O003"/>
    <m/>
    <n v="48"/>
    <s v="S"/>
    <n v="1533010002"/>
    <m/>
    <m/>
    <m/>
    <m/>
    <m/>
    <m/>
    <m/>
    <m/>
    <n v="-46914091"/>
    <s v="COP"/>
    <m/>
    <m/>
    <m/>
    <m/>
    <m/>
    <m/>
    <m/>
    <s v="O003001452"/>
    <m/>
    <m/>
    <n v="20240131"/>
    <m/>
    <m/>
    <n v="20240131"/>
    <n v="8002514406"/>
    <m/>
    <m/>
    <s v="PAGO INTERBANC EPS SANITAS S A"/>
    <m/>
    <x v="1"/>
    <n v="46914091"/>
    <n v="1"/>
  </r>
  <r>
    <x v="1"/>
    <d v="2024-01-31T00:00:00"/>
    <s v="PAGO INCAP"/>
    <s v="O003"/>
    <m/>
    <n v="49"/>
    <s v="S"/>
    <n v="1533010002"/>
    <m/>
    <m/>
    <m/>
    <m/>
    <m/>
    <m/>
    <m/>
    <m/>
    <n v="-3962995"/>
    <s v="COP"/>
    <m/>
    <m/>
    <m/>
    <m/>
    <m/>
    <m/>
    <m/>
    <s v="O003001452"/>
    <m/>
    <m/>
    <n v="20240131"/>
    <m/>
    <m/>
    <n v="20240131"/>
    <n v="8050011572"/>
    <m/>
    <m/>
    <s v="PAGO INTERBANC EPS  SOS S A"/>
    <m/>
    <x v="0"/>
    <n v="3962995"/>
    <n v="1"/>
  </r>
  <r>
    <x v="1"/>
    <d v="2024-01-31T00:00:00"/>
    <s v="PAGO INCAP"/>
    <s v="O003"/>
    <m/>
    <n v="50"/>
    <s v="S"/>
    <n v="1533010002"/>
    <m/>
    <m/>
    <m/>
    <m/>
    <m/>
    <m/>
    <m/>
    <m/>
    <n v="-1121343"/>
    <s v="COP"/>
    <m/>
    <m/>
    <m/>
    <m/>
    <m/>
    <m/>
    <m/>
    <s v="O003001452"/>
    <m/>
    <m/>
    <n v="20240131"/>
    <m/>
    <m/>
    <n v="20240131"/>
    <n v="8140003371"/>
    <m/>
    <m/>
    <s v="PAGO INTERBANC EMSSANAR ENTIDA"/>
    <m/>
    <x v="2"/>
    <n v="1121343"/>
    <n v="1"/>
  </r>
  <r>
    <x v="1"/>
    <d v="2024-01-31T00:00:00"/>
    <s v="PAGO INCAP"/>
    <s v="O003"/>
    <m/>
    <n v="51"/>
    <s v="S"/>
    <n v="1533010002"/>
    <m/>
    <m/>
    <m/>
    <m/>
    <m/>
    <m/>
    <m/>
    <m/>
    <n v="-28827471"/>
    <s v="COP"/>
    <m/>
    <m/>
    <m/>
    <m/>
    <m/>
    <m/>
    <m/>
    <s v="O003001452"/>
    <m/>
    <m/>
    <n v="20240131"/>
    <m/>
    <m/>
    <n v="20240131"/>
    <n v="8300035647"/>
    <m/>
    <m/>
    <s v="PAGO INTERBANC EPS FAMISANAR S"/>
    <m/>
    <x v="3"/>
    <n v="28827471"/>
    <n v="1"/>
  </r>
  <r>
    <x v="1"/>
    <d v="2024-01-31T00:00:00"/>
    <s v="PAGO INCAP"/>
    <s v="O003"/>
    <m/>
    <n v="52"/>
    <s v="S"/>
    <n v="1533010002"/>
    <m/>
    <m/>
    <m/>
    <m/>
    <m/>
    <m/>
    <m/>
    <m/>
    <n v="-1342499"/>
    <s v="COP"/>
    <m/>
    <m/>
    <m/>
    <m/>
    <m/>
    <m/>
    <m/>
    <s v="O003001452"/>
    <m/>
    <m/>
    <n v="20240131"/>
    <m/>
    <m/>
    <n v="20240131"/>
    <n v="8301138310"/>
    <m/>
    <m/>
    <s v="PAGO DE PROV ALIANSALUD EPS"/>
    <m/>
    <x v="0"/>
    <n v="1342499"/>
    <n v="1"/>
  </r>
  <r>
    <x v="1"/>
    <d v="2024-01-31T00:00:00"/>
    <s v="PAGO INCAP"/>
    <s v="O003"/>
    <m/>
    <n v="53"/>
    <s v="S"/>
    <n v="1533010002"/>
    <m/>
    <m/>
    <m/>
    <m/>
    <m/>
    <m/>
    <m/>
    <m/>
    <n v="-15946683"/>
    <s v="COP"/>
    <m/>
    <m/>
    <m/>
    <m/>
    <m/>
    <m/>
    <m/>
    <s v="O003001452"/>
    <m/>
    <m/>
    <n v="20240131"/>
    <m/>
    <m/>
    <n v="20240131"/>
    <n v="8600021839"/>
    <m/>
    <m/>
    <s v="PAGO INTERBANC AXA COLPATRIA S"/>
    <m/>
    <x v="0"/>
    <n v="15946683"/>
    <n v="1"/>
  </r>
  <r>
    <x v="1"/>
    <d v="2024-01-31T00:00:00"/>
    <s v="PAGO INCAP"/>
    <s v="O003"/>
    <m/>
    <n v="54"/>
    <s v="S"/>
    <n v="1533010002"/>
    <m/>
    <m/>
    <m/>
    <m/>
    <m/>
    <m/>
    <m/>
    <m/>
    <n v="-8401543"/>
    <s v="COP"/>
    <m/>
    <m/>
    <m/>
    <m/>
    <m/>
    <m/>
    <m/>
    <s v="O003001452"/>
    <m/>
    <m/>
    <n v="20240131"/>
    <m/>
    <m/>
    <n v="20240131"/>
    <n v="8600669427"/>
    <m/>
    <m/>
    <s v="PAGO INTERBANC CAJA DE COMPENS"/>
    <m/>
    <x v="4"/>
    <n v="8401543"/>
    <n v="1"/>
  </r>
  <r>
    <x v="1"/>
    <d v="2024-01-31T00:00:00"/>
    <s v="PAGO INCAP"/>
    <s v="O003"/>
    <m/>
    <n v="55"/>
    <s v="S"/>
    <n v="1533010002"/>
    <m/>
    <m/>
    <m/>
    <m/>
    <m/>
    <m/>
    <m/>
    <m/>
    <n v="-40168602"/>
    <s v="COP"/>
    <m/>
    <m/>
    <m/>
    <m/>
    <m/>
    <m/>
    <m/>
    <s v="O003001452"/>
    <m/>
    <m/>
    <n v="20240131"/>
    <m/>
    <m/>
    <n v="20240131"/>
    <n v="9001562642"/>
    <m/>
    <m/>
    <s v="PAGO DE PROV NUEVA EPS S A"/>
    <m/>
    <x v="5"/>
    <n v="40168602"/>
    <n v="1"/>
  </r>
  <r>
    <x v="1"/>
    <d v="2024-01-31T00:00:00"/>
    <s v="PAGO INCAP"/>
    <s v="O003"/>
    <m/>
    <n v="56"/>
    <s v="S"/>
    <n v="1533010002"/>
    <m/>
    <m/>
    <m/>
    <m/>
    <m/>
    <m/>
    <m/>
    <m/>
    <n v="-3623546"/>
    <s v="COP"/>
    <m/>
    <m/>
    <m/>
    <m/>
    <m/>
    <m/>
    <m/>
    <s v="O003001452"/>
    <m/>
    <m/>
    <n v="20240131"/>
    <m/>
    <m/>
    <n v="20240131"/>
    <n v="8000887022"/>
    <m/>
    <m/>
    <s v="EPS SURA"/>
    <m/>
    <x v="6"/>
    <n v="3623546"/>
    <n v="1"/>
  </r>
  <r>
    <x v="1"/>
    <d v="2024-01-31T00:00:00"/>
    <s v="PAGO INCAP"/>
    <s v="O003"/>
    <m/>
    <n v="83"/>
    <s v="S"/>
    <n v="1533010002"/>
    <m/>
    <m/>
    <m/>
    <m/>
    <m/>
    <m/>
    <m/>
    <m/>
    <n v="-5998997"/>
    <s v="COP"/>
    <m/>
    <m/>
    <m/>
    <m/>
    <m/>
    <m/>
    <m/>
    <s v="O003001452"/>
    <m/>
    <m/>
    <n v="20240131"/>
    <m/>
    <m/>
    <n v="20240131"/>
    <n v="8903030935"/>
    <m/>
    <m/>
    <s v="COMFENALCO VALLE"/>
    <m/>
    <x v="0"/>
    <n v="5998997"/>
    <n v="1"/>
  </r>
  <r>
    <x v="1"/>
    <d v="2024-01-31T00:00:00"/>
    <s v="PAGO INCAP"/>
    <s v="O003"/>
    <m/>
    <n v="84"/>
    <s v="S"/>
    <n v="1533010002"/>
    <m/>
    <m/>
    <m/>
    <m/>
    <m/>
    <m/>
    <m/>
    <m/>
    <n v="-9986886"/>
    <s v="COP"/>
    <m/>
    <m/>
    <m/>
    <m/>
    <m/>
    <m/>
    <m/>
    <s v="O003001452"/>
    <m/>
    <m/>
    <n v="20240131"/>
    <m/>
    <m/>
    <n v="20240131"/>
    <n v="8903030935"/>
    <m/>
    <m/>
    <s v="COMFENALCO VALLE"/>
    <m/>
    <x v="0"/>
    <n v="9986886"/>
    <n v="1"/>
  </r>
  <r>
    <x v="1"/>
    <d v="2024-01-31T00:00:00"/>
    <s v="PAGO INCAP"/>
    <s v="O003"/>
    <m/>
    <n v="85"/>
    <s v="S"/>
    <n v="1533010002"/>
    <m/>
    <m/>
    <m/>
    <m/>
    <m/>
    <m/>
    <m/>
    <m/>
    <n v="-292472"/>
    <s v="COP"/>
    <m/>
    <m/>
    <m/>
    <m/>
    <m/>
    <m/>
    <m/>
    <s v="O003001452"/>
    <m/>
    <m/>
    <n v="20240131"/>
    <m/>
    <m/>
    <n v="20240131"/>
    <n v="8909049961"/>
    <m/>
    <m/>
    <s v="EPM"/>
    <m/>
    <x v="0"/>
    <n v="292472"/>
    <n v="1"/>
  </r>
  <r>
    <x v="2"/>
    <d v="2024-02-29T00:00:00"/>
    <s v="PAGO INCAP"/>
    <s v="O003"/>
    <m/>
    <n v="52"/>
    <s v="S"/>
    <n v="1533010002"/>
    <m/>
    <m/>
    <m/>
    <m/>
    <m/>
    <m/>
    <m/>
    <m/>
    <n v="-42933257"/>
    <s v="COP"/>
    <m/>
    <m/>
    <m/>
    <m/>
    <m/>
    <m/>
    <m/>
    <s v="O003001452"/>
    <m/>
    <m/>
    <n v="20240229"/>
    <m/>
    <m/>
    <n v="20240229"/>
    <n v="8000887022"/>
    <m/>
    <m/>
    <s v="PAGO DE PROV EPS SURAMERICAN"/>
    <m/>
    <x v="6"/>
    <n v="42933257"/>
    <n v="2"/>
  </r>
  <r>
    <x v="2"/>
    <d v="2024-02-29T00:00:00"/>
    <s v="PAGO INCAP"/>
    <s v="O003"/>
    <m/>
    <n v="53"/>
    <s v="S"/>
    <n v="1533010002"/>
    <m/>
    <m/>
    <m/>
    <m/>
    <m/>
    <m/>
    <m/>
    <m/>
    <n v="-2669518"/>
    <s v="COP"/>
    <m/>
    <m/>
    <m/>
    <m/>
    <m/>
    <m/>
    <m/>
    <s v="O003001452"/>
    <m/>
    <m/>
    <n v="20240229"/>
    <m/>
    <m/>
    <n v="20240229"/>
    <n v="8001309074"/>
    <m/>
    <m/>
    <s v="PAGO DE PROV SALUD TOTAL EPS"/>
    <m/>
    <x v="0"/>
    <n v="2669518"/>
    <n v="2"/>
  </r>
  <r>
    <x v="2"/>
    <d v="2024-02-29T00:00:00"/>
    <s v="PAGO INCAP"/>
    <s v="O003"/>
    <m/>
    <n v="54"/>
    <s v="S"/>
    <n v="1533010002"/>
    <m/>
    <m/>
    <m/>
    <m/>
    <m/>
    <m/>
    <m/>
    <m/>
    <n v="-71099032"/>
    <s v="COP"/>
    <m/>
    <m/>
    <m/>
    <m/>
    <m/>
    <m/>
    <m/>
    <s v="O003001452"/>
    <m/>
    <m/>
    <n v="20240229"/>
    <m/>
    <m/>
    <n v="20240229"/>
    <n v="8002514406"/>
    <m/>
    <m/>
    <s v="PAGO INTERBANC EPS SANITAS S A"/>
    <m/>
    <x v="1"/>
    <n v="71099032"/>
    <n v="2"/>
  </r>
  <r>
    <x v="2"/>
    <d v="2024-02-29T00:00:00"/>
    <s v="PAGO INCAP"/>
    <s v="O003"/>
    <m/>
    <n v="55"/>
    <s v="S"/>
    <n v="1533010002"/>
    <m/>
    <m/>
    <m/>
    <m/>
    <m/>
    <m/>
    <m/>
    <m/>
    <n v="-997911"/>
    <s v="COP"/>
    <m/>
    <m/>
    <m/>
    <m/>
    <m/>
    <m/>
    <m/>
    <s v="O003001452"/>
    <m/>
    <m/>
    <n v="20240229"/>
    <m/>
    <m/>
    <n v="20240229"/>
    <n v="8050011572"/>
    <m/>
    <m/>
    <s v="PAGO INTERBANC EPS  SOS S A"/>
    <m/>
    <x v="0"/>
    <n v="997911"/>
    <n v="2"/>
  </r>
  <r>
    <x v="2"/>
    <d v="2024-02-29T00:00:00"/>
    <s v="PAGO INCAP"/>
    <s v="O003"/>
    <m/>
    <n v="56"/>
    <s v="S"/>
    <n v="1533010002"/>
    <m/>
    <m/>
    <m/>
    <m/>
    <m/>
    <m/>
    <m/>
    <m/>
    <n v="-38667"/>
    <s v="COP"/>
    <m/>
    <m/>
    <m/>
    <m/>
    <m/>
    <m/>
    <m/>
    <s v="O003001452"/>
    <m/>
    <m/>
    <n v="20240229"/>
    <m/>
    <m/>
    <n v="20240229"/>
    <n v="8060083947"/>
    <m/>
    <m/>
    <s v="PAGO INTERBANC MUTUAL SER EPS"/>
    <m/>
    <x v="0"/>
    <n v="38667"/>
    <n v="2"/>
  </r>
  <r>
    <x v="2"/>
    <d v="2024-02-29T00:00:00"/>
    <s v="PAGO INCAP"/>
    <s v="O003"/>
    <m/>
    <n v="57"/>
    <s v="S"/>
    <n v="1533010002"/>
    <m/>
    <m/>
    <m/>
    <m/>
    <m/>
    <m/>
    <m/>
    <m/>
    <n v="-2325361"/>
    <s v="COP"/>
    <m/>
    <m/>
    <m/>
    <m/>
    <m/>
    <m/>
    <m/>
    <s v="O003001452"/>
    <m/>
    <m/>
    <n v="20240229"/>
    <m/>
    <m/>
    <n v="20240229"/>
    <n v="8140003371"/>
    <m/>
    <m/>
    <s v="PAGO INTERBANC EMSSANAR ENTIDA"/>
    <m/>
    <x v="2"/>
    <n v="2325361"/>
    <n v="2"/>
  </r>
  <r>
    <x v="2"/>
    <d v="2024-02-29T00:00:00"/>
    <s v="PAGO INCAP"/>
    <s v="O003"/>
    <m/>
    <n v="58"/>
    <s v="S"/>
    <n v="1533010002"/>
    <m/>
    <m/>
    <m/>
    <m/>
    <m/>
    <m/>
    <m/>
    <m/>
    <n v="-17170822"/>
    <s v="COP"/>
    <m/>
    <m/>
    <m/>
    <m/>
    <m/>
    <m/>
    <m/>
    <s v="O003001452"/>
    <m/>
    <m/>
    <n v="20240229"/>
    <m/>
    <m/>
    <n v="20240229"/>
    <n v="8300035647"/>
    <m/>
    <m/>
    <s v="PAGO INTERBANC EPS FAMISANAR S"/>
    <m/>
    <x v="3"/>
    <n v="17170822"/>
    <n v="2"/>
  </r>
  <r>
    <x v="2"/>
    <d v="2024-02-29T00:00:00"/>
    <s v="PAGO INCAP"/>
    <s v="O003"/>
    <m/>
    <n v="59"/>
    <s v="S"/>
    <n v="1533010002"/>
    <m/>
    <m/>
    <m/>
    <m/>
    <m/>
    <m/>
    <m/>
    <m/>
    <n v="-16967412"/>
    <s v="COP"/>
    <m/>
    <m/>
    <m/>
    <m/>
    <m/>
    <m/>
    <m/>
    <s v="O003001452"/>
    <m/>
    <m/>
    <n v="20240229"/>
    <m/>
    <m/>
    <n v="20240229"/>
    <n v="8301138310"/>
    <m/>
    <m/>
    <s v="PAGO DE PROV ALIANSALUD EPS"/>
    <m/>
    <x v="0"/>
    <n v="16967412"/>
    <n v="2"/>
  </r>
  <r>
    <x v="2"/>
    <d v="2024-02-29T00:00:00"/>
    <s v="PAGO INCAP"/>
    <s v="O003"/>
    <m/>
    <n v="60"/>
    <s v="S"/>
    <n v="1533010002"/>
    <m/>
    <m/>
    <m/>
    <m/>
    <m/>
    <m/>
    <m/>
    <m/>
    <n v="-14573203"/>
    <s v="COP"/>
    <m/>
    <m/>
    <m/>
    <m/>
    <m/>
    <m/>
    <m/>
    <s v="O003001452"/>
    <m/>
    <m/>
    <n v="20240229"/>
    <m/>
    <m/>
    <n v="20240229"/>
    <n v="8600021839"/>
    <m/>
    <m/>
    <s v="PAGO INTERBANC AXA COLPATRIA S"/>
    <m/>
    <x v="0"/>
    <n v="14573203"/>
    <n v="2"/>
  </r>
  <r>
    <x v="2"/>
    <d v="2024-02-29T00:00:00"/>
    <s v="PAGO INCAP"/>
    <s v="O003"/>
    <m/>
    <n v="61"/>
    <s v="S"/>
    <n v="1533010002"/>
    <m/>
    <m/>
    <m/>
    <m/>
    <m/>
    <m/>
    <m/>
    <m/>
    <n v="-3510825"/>
    <s v="COP"/>
    <m/>
    <m/>
    <m/>
    <m/>
    <m/>
    <m/>
    <m/>
    <s v="O003001452"/>
    <m/>
    <m/>
    <n v="20240229"/>
    <m/>
    <m/>
    <n v="20240229"/>
    <n v="8600669427"/>
    <m/>
    <m/>
    <s v="PAGO INTERBANC CAJA DE COMPENS"/>
    <m/>
    <x v="4"/>
    <n v="3510825"/>
    <n v="2"/>
  </r>
  <r>
    <x v="2"/>
    <d v="2024-02-29T00:00:00"/>
    <s v="PAGO INCAP"/>
    <s v="O003"/>
    <m/>
    <n v="62"/>
    <s v="S"/>
    <n v="1533010002"/>
    <m/>
    <m/>
    <m/>
    <m/>
    <m/>
    <m/>
    <m/>
    <m/>
    <n v="-40155599"/>
    <s v="COP"/>
    <m/>
    <m/>
    <m/>
    <m/>
    <m/>
    <m/>
    <m/>
    <s v="O003001452"/>
    <m/>
    <m/>
    <n v="20240229"/>
    <m/>
    <m/>
    <n v="20240229"/>
    <n v="9001562642"/>
    <m/>
    <m/>
    <s v="PAGO DE PROV NUEVA EPS S A"/>
    <m/>
    <x v="5"/>
    <n v="40155599"/>
    <n v="2"/>
  </r>
  <r>
    <x v="2"/>
    <d v="2024-02-29T00:00:00"/>
    <s v="PAGO INCAP"/>
    <s v="O003"/>
    <m/>
    <n v="63"/>
    <s v="S"/>
    <n v="1533010002"/>
    <m/>
    <m/>
    <m/>
    <m/>
    <m/>
    <m/>
    <m/>
    <m/>
    <n v="-116001"/>
    <s v="COP"/>
    <m/>
    <m/>
    <m/>
    <m/>
    <m/>
    <m/>
    <m/>
    <s v="O003001452"/>
    <m/>
    <m/>
    <n v="20240229"/>
    <m/>
    <m/>
    <n v="20240229"/>
    <n v="9002983729"/>
    <m/>
    <m/>
    <s v="PAGO DE PROV CAPITAL SALUD E"/>
    <m/>
    <x v="0"/>
    <n v="116001"/>
    <n v="2"/>
  </r>
  <r>
    <x v="2"/>
    <d v="2024-02-29T00:00:00"/>
    <s v="PAGO INCAP"/>
    <s v="O003"/>
    <m/>
    <n v="64"/>
    <s v="S"/>
    <n v="1533010002"/>
    <m/>
    <m/>
    <m/>
    <m/>
    <m/>
    <m/>
    <m/>
    <m/>
    <n v="-1237344"/>
    <s v="COP"/>
    <m/>
    <m/>
    <m/>
    <m/>
    <m/>
    <m/>
    <m/>
    <s v="O003001452"/>
    <m/>
    <m/>
    <n v="20240229"/>
    <m/>
    <m/>
    <n v="20240229"/>
    <n v="9006043500"/>
    <m/>
    <m/>
    <s v="PAGO DE PROV AMA EPS S.A.S"/>
    <m/>
    <x v="0"/>
    <n v="1237344"/>
    <n v="2"/>
  </r>
  <r>
    <x v="2"/>
    <d v="2024-02-29T00:00:00"/>
    <s v="PAGO INCAP"/>
    <s v="O003"/>
    <m/>
    <n v="65"/>
    <s v="S"/>
    <n v="1533010002"/>
    <m/>
    <m/>
    <m/>
    <m/>
    <m/>
    <m/>
    <m/>
    <m/>
    <n v="-10671015"/>
    <s v="COP"/>
    <m/>
    <m/>
    <m/>
    <m/>
    <m/>
    <m/>
    <m/>
    <s v="O003001452"/>
    <m/>
    <m/>
    <n v="20240229"/>
    <m/>
    <m/>
    <n v="20240229"/>
    <n v="9009142541"/>
    <m/>
    <m/>
    <s v="PAGO INTERBANC FUNDACION SALUD"/>
    <m/>
    <x v="0"/>
    <n v="10671015"/>
    <n v="2"/>
  </r>
  <r>
    <x v="3"/>
    <d v="2024-03-31T00:00:00"/>
    <s v="PAGO INCAP"/>
    <s v="O003"/>
    <m/>
    <n v="237"/>
    <s v="S"/>
    <n v="1533010002"/>
    <m/>
    <m/>
    <m/>
    <m/>
    <m/>
    <m/>
    <m/>
    <m/>
    <n v="-12209087"/>
    <s v="COP"/>
    <m/>
    <m/>
    <m/>
    <m/>
    <m/>
    <m/>
    <m/>
    <s v="O003001452"/>
    <m/>
    <m/>
    <n v="20240331"/>
    <m/>
    <m/>
    <n v="20240331"/>
    <n v="8000887022"/>
    <m/>
    <m/>
    <s v="PAGO DE PROV EPS SURAMERICAN"/>
    <m/>
    <x v="6"/>
    <n v="12209087"/>
    <n v="3"/>
  </r>
  <r>
    <x v="3"/>
    <d v="2024-03-31T00:00:00"/>
    <s v="PAGO INCAP"/>
    <s v="O003"/>
    <m/>
    <n v="238"/>
    <s v="S"/>
    <n v="1533010002"/>
    <m/>
    <m/>
    <m/>
    <m/>
    <m/>
    <m/>
    <m/>
    <m/>
    <n v="-6504524"/>
    <s v="COP"/>
    <m/>
    <m/>
    <m/>
    <m/>
    <m/>
    <m/>
    <m/>
    <s v="O003001452"/>
    <m/>
    <m/>
    <n v="20240331"/>
    <m/>
    <m/>
    <n v="20240331"/>
    <n v="8001309074"/>
    <m/>
    <m/>
    <s v="PAGO DE PROV SALUD TOTAL EPS"/>
    <m/>
    <x v="0"/>
    <n v="6504524"/>
    <n v="3"/>
  </r>
  <r>
    <x v="3"/>
    <d v="2024-03-31T00:00:00"/>
    <s v="PAGO INCAP"/>
    <s v="O003"/>
    <m/>
    <n v="239"/>
    <s v="S"/>
    <n v="1533010002"/>
    <m/>
    <m/>
    <m/>
    <m/>
    <m/>
    <m/>
    <m/>
    <m/>
    <n v="-3209334"/>
    <s v="COP"/>
    <m/>
    <m/>
    <m/>
    <m/>
    <m/>
    <m/>
    <m/>
    <s v="O003001452"/>
    <m/>
    <m/>
    <n v="20240331"/>
    <m/>
    <m/>
    <n v="20240331"/>
    <n v="8002492410"/>
    <m/>
    <m/>
    <s v="PAGO INTERBANC COOSALUD-ENTIDA"/>
    <m/>
    <x v="0"/>
    <n v="3209334"/>
    <n v="3"/>
  </r>
  <r>
    <x v="3"/>
    <d v="2024-03-31T00:00:00"/>
    <s v="PAGO INCAP"/>
    <s v="O003"/>
    <m/>
    <n v="240"/>
    <s v="S"/>
    <n v="1533010002"/>
    <m/>
    <m/>
    <m/>
    <m/>
    <m/>
    <m/>
    <m/>
    <m/>
    <n v="-15917110"/>
    <s v="COP"/>
    <m/>
    <m/>
    <m/>
    <m/>
    <m/>
    <m/>
    <m/>
    <s v="O003001452"/>
    <m/>
    <m/>
    <n v="20240331"/>
    <m/>
    <m/>
    <n v="20240331"/>
    <n v="8002514406"/>
    <m/>
    <m/>
    <s v="PAGO INTERBANC EPS SANITAS S A"/>
    <m/>
    <x v="1"/>
    <n v="15917110"/>
    <n v="3"/>
  </r>
  <r>
    <x v="3"/>
    <d v="2024-03-31T00:00:00"/>
    <s v="PAGO INCAP"/>
    <s v="O003"/>
    <m/>
    <n v="241"/>
    <s v="S"/>
    <n v="1533010002"/>
    <m/>
    <m/>
    <m/>
    <m/>
    <m/>
    <m/>
    <m/>
    <m/>
    <n v="-77334"/>
    <s v="COP"/>
    <m/>
    <m/>
    <m/>
    <m/>
    <m/>
    <m/>
    <m/>
    <s v="O003001452"/>
    <m/>
    <m/>
    <n v="20240331"/>
    <m/>
    <m/>
    <n v="20240331"/>
    <n v="8050011572"/>
    <m/>
    <m/>
    <s v="PAGO INTERBANC EPS  SOS S A"/>
    <m/>
    <x v="0"/>
    <n v="77334"/>
    <n v="3"/>
  </r>
  <r>
    <x v="3"/>
    <d v="2024-03-31T00:00:00"/>
    <s v="PAGO INCAP"/>
    <s v="O003"/>
    <m/>
    <n v="242"/>
    <s v="S"/>
    <n v="1533010002"/>
    <m/>
    <m/>
    <m/>
    <m/>
    <m/>
    <m/>
    <m/>
    <m/>
    <n v="-212001"/>
    <s v="COP"/>
    <m/>
    <m/>
    <m/>
    <m/>
    <m/>
    <m/>
    <m/>
    <s v="O003001452"/>
    <m/>
    <m/>
    <n v="20240331"/>
    <m/>
    <m/>
    <n v="20240331"/>
    <n v="8060083947"/>
    <m/>
    <m/>
    <s v="PAGO INTERBANC MUTUAL SER EPS"/>
    <m/>
    <x v="0"/>
    <n v="212001"/>
    <n v="3"/>
  </r>
  <r>
    <x v="3"/>
    <d v="2024-03-31T00:00:00"/>
    <s v="PAGO INCAP"/>
    <s v="O003"/>
    <m/>
    <n v="243"/>
    <s v="S"/>
    <n v="1533010002"/>
    <m/>
    <m/>
    <m/>
    <m/>
    <m/>
    <m/>
    <m/>
    <m/>
    <n v="-16862650"/>
    <s v="COP"/>
    <m/>
    <m/>
    <m/>
    <m/>
    <m/>
    <m/>
    <m/>
    <s v="O003001452"/>
    <m/>
    <m/>
    <n v="20240331"/>
    <m/>
    <m/>
    <n v="20240331"/>
    <n v="8300035647"/>
    <m/>
    <m/>
    <s v="PAGO INTERBANC EPS FAMISANAR S"/>
    <m/>
    <x v="3"/>
    <n v="16862650"/>
    <n v="3"/>
  </r>
  <r>
    <x v="3"/>
    <d v="2024-03-31T00:00:00"/>
    <s v="PAGO INCAP"/>
    <s v="O003"/>
    <m/>
    <n v="244"/>
    <s v="S"/>
    <n v="1533010002"/>
    <m/>
    <m/>
    <m/>
    <m/>
    <m/>
    <m/>
    <m/>
    <m/>
    <n v="-22887098"/>
    <s v="COP"/>
    <m/>
    <m/>
    <m/>
    <m/>
    <m/>
    <m/>
    <m/>
    <s v="O003001452"/>
    <m/>
    <m/>
    <n v="20240331"/>
    <m/>
    <m/>
    <n v="20240331"/>
    <n v="8301138310"/>
    <m/>
    <m/>
    <s v="PAGO DE PROV ALIANSALUD EPS"/>
    <m/>
    <x v="0"/>
    <n v="22887098"/>
    <n v="3"/>
  </r>
  <r>
    <x v="3"/>
    <d v="2024-03-31T00:00:00"/>
    <s v="PAGO INCAP"/>
    <s v="O003"/>
    <m/>
    <n v="245"/>
    <s v="S"/>
    <n v="1533010002"/>
    <m/>
    <m/>
    <m/>
    <m/>
    <m/>
    <m/>
    <m/>
    <m/>
    <n v="-14001696"/>
    <s v="COP"/>
    <m/>
    <m/>
    <m/>
    <m/>
    <m/>
    <m/>
    <m/>
    <s v="O003001452"/>
    <m/>
    <m/>
    <n v="20240331"/>
    <m/>
    <m/>
    <n v="20240331"/>
    <n v="8600021839"/>
    <m/>
    <m/>
    <s v="PAGO INTERBANC AXA COLPATRIA S"/>
    <m/>
    <x v="0"/>
    <n v="14001696"/>
    <n v="3"/>
  </r>
  <r>
    <x v="3"/>
    <d v="2024-03-31T00:00:00"/>
    <s v="PAGO INCAP"/>
    <s v="O003"/>
    <m/>
    <n v="246"/>
    <s v="S"/>
    <n v="1533010002"/>
    <m/>
    <m/>
    <m/>
    <m/>
    <m/>
    <m/>
    <m/>
    <m/>
    <n v="-8704906"/>
    <s v="COP"/>
    <m/>
    <m/>
    <m/>
    <m/>
    <m/>
    <m/>
    <m/>
    <s v="O003001452"/>
    <m/>
    <m/>
    <n v="20240331"/>
    <m/>
    <m/>
    <n v="20240331"/>
    <n v="8600669427"/>
    <m/>
    <m/>
    <s v="PAGO INTERBANC CAJA DE COMPENS"/>
    <m/>
    <x v="4"/>
    <n v="8704906"/>
    <n v="3"/>
  </r>
  <r>
    <x v="3"/>
    <d v="2024-03-31T00:00:00"/>
    <s v="PAGO INCAP"/>
    <s v="O003"/>
    <m/>
    <n v="247"/>
    <s v="S"/>
    <n v="1533010002"/>
    <m/>
    <m/>
    <m/>
    <m/>
    <m/>
    <m/>
    <m/>
    <m/>
    <n v="-21704777"/>
    <s v="COP"/>
    <m/>
    <m/>
    <m/>
    <m/>
    <m/>
    <m/>
    <m/>
    <s v="O003001452"/>
    <m/>
    <m/>
    <n v="20240331"/>
    <m/>
    <m/>
    <n v="20240331"/>
    <n v="9001562642"/>
    <m/>
    <m/>
    <s v="PAGO DE PROV NUEVA EPS S A"/>
    <m/>
    <x v="5"/>
    <n v="21704777"/>
    <n v="3"/>
  </r>
  <r>
    <x v="3"/>
    <d v="2024-03-31T00:00:00"/>
    <s v="PAGO INCAP"/>
    <s v="O003"/>
    <m/>
    <n v="248"/>
    <s v="S"/>
    <n v="1533010002"/>
    <m/>
    <m/>
    <m/>
    <m/>
    <m/>
    <m/>
    <m/>
    <m/>
    <n v="-39857"/>
    <s v="COP"/>
    <m/>
    <m/>
    <m/>
    <m/>
    <m/>
    <m/>
    <m/>
    <s v="O003001452"/>
    <m/>
    <m/>
    <n v="20240331"/>
    <m/>
    <m/>
    <n v="20240331"/>
    <n v="9009142541"/>
    <m/>
    <m/>
    <s v="PAGO INTERBANC FUNDACION SALUD"/>
    <m/>
    <x v="0"/>
    <n v="39857"/>
    <n v="3"/>
  </r>
  <r>
    <x v="3"/>
    <d v="2024-03-31T00:00:00"/>
    <s v="PAGO INCAP"/>
    <s v="O003"/>
    <m/>
    <n v="257"/>
    <s v="S"/>
    <n v="1533010002"/>
    <m/>
    <m/>
    <m/>
    <m/>
    <m/>
    <m/>
    <m/>
    <m/>
    <n v="3623546"/>
    <s v="COP"/>
    <m/>
    <m/>
    <m/>
    <m/>
    <m/>
    <m/>
    <m/>
    <s v="O003001452"/>
    <m/>
    <m/>
    <n v="20240331"/>
    <m/>
    <m/>
    <n v="20240331"/>
    <n v="8000887022"/>
    <m/>
    <m/>
    <s v="EPS SURA"/>
    <m/>
    <x v="6"/>
    <n v="3623546"/>
    <n v="3"/>
  </r>
  <r>
    <x v="3"/>
    <d v="2024-03-31T00:00:00"/>
    <s v="PAGO INCAP"/>
    <s v="O003"/>
    <m/>
    <n v="258"/>
    <s v="S"/>
    <n v="1533010002"/>
    <m/>
    <m/>
    <m/>
    <m/>
    <m/>
    <m/>
    <m/>
    <m/>
    <n v="232000"/>
    <s v="COP"/>
    <m/>
    <m/>
    <m/>
    <m/>
    <m/>
    <m/>
    <m/>
    <s v="O003001452"/>
    <m/>
    <m/>
    <n v="20240331"/>
    <m/>
    <m/>
    <n v="20240331"/>
    <n v="8600669427"/>
    <m/>
    <m/>
    <s v="PAGO INTERBANC CAJA DE COMPENS"/>
    <m/>
    <x v="4"/>
    <n v="232000"/>
    <n v="3"/>
  </r>
  <r>
    <x v="3"/>
    <d v="2024-03-31T00:00:00"/>
    <s v="PAGO INCAP"/>
    <s v="O003"/>
    <m/>
    <n v="259"/>
    <s v="S"/>
    <n v="1533010002"/>
    <m/>
    <m/>
    <m/>
    <m/>
    <m/>
    <m/>
    <m/>
    <m/>
    <n v="256134"/>
    <s v="COP"/>
    <m/>
    <m/>
    <m/>
    <m/>
    <m/>
    <m/>
    <m/>
    <s v="O003001452"/>
    <m/>
    <m/>
    <n v="20240331"/>
    <m/>
    <m/>
    <n v="20240331"/>
    <n v="8600021839"/>
    <m/>
    <m/>
    <s v="PAGO INTERBANC AXA COLPATRIA S"/>
    <m/>
    <x v="0"/>
    <n v="256134"/>
    <n v="3"/>
  </r>
  <r>
    <x v="3"/>
    <d v="2024-03-31T00:00:00"/>
    <s v="PAGO INCAP"/>
    <s v="O003"/>
    <m/>
    <n v="260"/>
    <s v="S"/>
    <n v="1533010002"/>
    <m/>
    <m/>
    <m/>
    <m/>
    <m/>
    <m/>
    <m/>
    <m/>
    <n v="5998997"/>
    <s v="COP"/>
    <m/>
    <m/>
    <m/>
    <m/>
    <m/>
    <m/>
    <m/>
    <s v="O003001452"/>
    <m/>
    <m/>
    <n v="20240331"/>
    <m/>
    <m/>
    <n v="20240331"/>
    <n v="8903030935"/>
    <m/>
    <m/>
    <s v="COMFENALCO VALLE"/>
    <m/>
    <x v="0"/>
    <n v="5998997"/>
    <n v="3"/>
  </r>
  <r>
    <x v="4"/>
    <d v="2024-04-30T00:00:00"/>
    <s v="PAGO INCAP"/>
    <s v="O003"/>
    <m/>
    <n v="91"/>
    <s v="S"/>
    <n v="1533010002"/>
    <m/>
    <m/>
    <m/>
    <m/>
    <m/>
    <m/>
    <m/>
    <m/>
    <n v="-38885230"/>
    <s v="COP"/>
    <m/>
    <m/>
    <m/>
    <m/>
    <m/>
    <m/>
    <m/>
    <s v="O003001452"/>
    <m/>
    <m/>
    <n v="20240430"/>
    <m/>
    <m/>
    <n v="20240430"/>
    <n v="8000887022"/>
    <m/>
    <m/>
    <s v="PAGO DE PROV EPS SURAMERICAN"/>
    <m/>
    <x v="6"/>
    <n v="38885230"/>
    <n v="4"/>
  </r>
  <r>
    <x v="4"/>
    <d v="2024-04-30T00:00:00"/>
    <s v="PAGO INCAP"/>
    <s v="O003"/>
    <m/>
    <n v="92"/>
    <s v="S"/>
    <n v="1533010002"/>
    <m/>
    <m/>
    <m/>
    <m/>
    <m/>
    <m/>
    <m/>
    <m/>
    <n v="-28502131"/>
    <s v="COP"/>
    <m/>
    <m/>
    <m/>
    <m/>
    <m/>
    <m/>
    <m/>
    <s v="O003001452"/>
    <m/>
    <m/>
    <n v="20240430"/>
    <m/>
    <m/>
    <n v="20240430"/>
    <n v="8001309074"/>
    <m/>
    <m/>
    <s v="PAGO DE PROV SALUD TOTAL EPS"/>
    <m/>
    <x v="0"/>
    <n v="28502131"/>
    <n v="4"/>
  </r>
  <r>
    <x v="4"/>
    <d v="2024-04-30T00:00:00"/>
    <s v="PAGO INCAP"/>
    <s v="O003"/>
    <m/>
    <n v="93"/>
    <s v="S"/>
    <n v="1533010002"/>
    <m/>
    <m/>
    <m/>
    <m/>
    <m/>
    <m/>
    <m/>
    <m/>
    <n v="-2226672"/>
    <s v="COP"/>
    <m/>
    <m/>
    <m/>
    <m/>
    <m/>
    <m/>
    <m/>
    <s v="O003001452"/>
    <m/>
    <m/>
    <n v="20240430"/>
    <m/>
    <m/>
    <n v="20240430"/>
    <n v="8002492410"/>
    <m/>
    <m/>
    <s v="PAGO INTERBANC COOSALUD-ENTIDA"/>
    <m/>
    <x v="0"/>
    <n v="2226672"/>
    <n v="4"/>
  </r>
  <r>
    <x v="4"/>
    <d v="2024-04-30T00:00:00"/>
    <s v="PAGO INCAP"/>
    <s v="O003"/>
    <m/>
    <n v="94"/>
    <s v="S"/>
    <n v="1533010002"/>
    <m/>
    <m/>
    <m/>
    <m/>
    <m/>
    <m/>
    <m/>
    <m/>
    <n v="-32810713"/>
    <s v="COP"/>
    <m/>
    <m/>
    <m/>
    <m/>
    <m/>
    <m/>
    <m/>
    <s v="O003001452"/>
    <m/>
    <m/>
    <n v="20240430"/>
    <m/>
    <m/>
    <n v="20240430"/>
    <n v="8002514406"/>
    <m/>
    <m/>
    <s v="PAGO INTERBANC EPS SANITAS S A"/>
    <m/>
    <x v="1"/>
    <n v="32810713"/>
    <n v="4"/>
  </r>
  <r>
    <x v="4"/>
    <d v="2024-04-30T00:00:00"/>
    <s v="PAGO INCAP"/>
    <s v="O003"/>
    <m/>
    <n v="95"/>
    <s v="S"/>
    <n v="1533010002"/>
    <m/>
    <m/>
    <m/>
    <m/>
    <m/>
    <m/>
    <m/>
    <m/>
    <n v="-886770"/>
    <s v="COP"/>
    <m/>
    <m/>
    <m/>
    <m/>
    <m/>
    <m/>
    <m/>
    <s v="O003001452"/>
    <m/>
    <m/>
    <n v="20240430"/>
    <m/>
    <m/>
    <n v="20240430"/>
    <n v="8050011572"/>
    <m/>
    <m/>
    <s v="PAGO INTERBANC EPS  SOS S A"/>
    <m/>
    <x v="0"/>
    <n v="886770"/>
    <n v="4"/>
  </r>
  <r>
    <x v="4"/>
    <d v="2024-04-30T00:00:00"/>
    <s v="PAGO INCAP"/>
    <s v="O003"/>
    <m/>
    <n v="96"/>
    <s v="S"/>
    <n v="1533010002"/>
    <m/>
    <m/>
    <m/>
    <m/>
    <m/>
    <m/>
    <m/>
    <m/>
    <n v="-705335"/>
    <s v="COP"/>
    <m/>
    <m/>
    <m/>
    <m/>
    <m/>
    <m/>
    <m/>
    <s v="O003001452"/>
    <m/>
    <m/>
    <n v="20240430"/>
    <m/>
    <m/>
    <n v="20240430"/>
    <n v="8060083947"/>
    <m/>
    <m/>
    <s v="PAGO INTERBANC MUTUAL SER EPS"/>
    <m/>
    <x v="0"/>
    <n v="705335"/>
    <n v="4"/>
  </r>
  <r>
    <x v="4"/>
    <d v="2024-04-30T00:00:00"/>
    <s v="PAGO INCAP"/>
    <s v="O003"/>
    <m/>
    <n v="97"/>
    <s v="S"/>
    <n v="1533010002"/>
    <m/>
    <m/>
    <m/>
    <m/>
    <m/>
    <m/>
    <m/>
    <m/>
    <n v="-86668"/>
    <s v="COP"/>
    <m/>
    <m/>
    <m/>
    <m/>
    <m/>
    <m/>
    <m/>
    <s v="O003001452"/>
    <m/>
    <m/>
    <n v="20240430"/>
    <m/>
    <m/>
    <n v="20240430"/>
    <n v="8140003371"/>
    <m/>
    <m/>
    <s v="PAGO INTERBANC EMSSANAR ENTIDA"/>
    <m/>
    <x v="2"/>
    <n v="86668"/>
    <n v="4"/>
  </r>
  <r>
    <x v="4"/>
    <d v="2024-04-30T00:00:00"/>
    <s v="PAGO INCAP"/>
    <s v="O003"/>
    <m/>
    <n v="98"/>
    <s v="S"/>
    <n v="1533010002"/>
    <m/>
    <m/>
    <m/>
    <m/>
    <m/>
    <m/>
    <m/>
    <m/>
    <n v="-18386363"/>
    <s v="COP"/>
    <m/>
    <m/>
    <m/>
    <m/>
    <m/>
    <m/>
    <m/>
    <s v="O003001452"/>
    <m/>
    <m/>
    <n v="20240430"/>
    <m/>
    <m/>
    <n v="20240430"/>
    <n v="8300035647"/>
    <m/>
    <m/>
    <s v="PAGO INTERBANC EPS FAMISANAR S"/>
    <m/>
    <x v="3"/>
    <n v="18386363"/>
    <n v="4"/>
  </r>
  <r>
    <x v="4"/>
    <d v="2024-04-30T00:00:00"/>
    <s v="PAGO INCAP"/>
    <s v="O003"/>
    <m/>
    <n v="99"/>
    <s v="S"/>
    <n v="1533010002"/>
    <m/>
    <m/>
    <m/>
    <m/>
    <m/>
    <m/>
    <m/>
    <m/>
    <n v="-3620679"/>
    <s v="COP"/>
    <m/>
    <m/>
    <m/>
    <m/>
    <m/>
    <m/>
    <m/>
    <s v="O003001452"/>
    <m/>
    <m/>
    <n v="20240430"/>
    <m/>
    <m/>
    <n v="20240430"/>
    <n v="8301138310"/>
    <m/>
    <m/>
    <s v="PAGO DE PROV ALIANSALUD EPS"/>
    <m/>
    <x v="0"/>
    <n v="3620679"/>
    <n v="4"/>
  </r>
  <r>
    <x v="4"/>
    <d v="2024-04-30T00:00:00"/>
    <s v="PAGO INCAP"/>
    <s v="O003"/>
    <m/>
    <n v="100"/>
    <s v="S"/>
    <n v="1533010002"/>
    <m/>
    <m/>
    <m/>
    <m/>
    <m/>
    <m/>
    <m/>
    <m/>
    <n v="-7845825"/>
    <s v="COP"/>
    <m/>
    <m/>
    <m/>
    <m/>
    <m/>
    <m/>
    <m/>
    <s v="O003001452"/>
    <m/>
    <m/>
    <n v="20240430"/>
    <m/>
    <m/>
    <n v="20240430"/>
    <n v="8600021839"/>
    <m/>
    <m/>
    <s v="PAGO INTERBANC AXA COLPATRIA S"/>
    <m/>
    <x v="0"/>
    <n v="7845825"/>
    <n v="4"/>
  </r>
  <r>
    <x v="4"/>
    <d v="2024-04-30T00:00:00"/>
    <s v="PAGO INCAP"/>
    <s v="O003"/>
    <m/>
    <n v="101"/>
    <s v="S"/>
    <n v="1533010002"/>
    <m/>
    <m/>
    <m/>
    <m/>
    <m/>
    <m/>
    <m/>
    <m/>
    <n v="-8626224"/>
    <s v="COP"/>
    <m/>
    <m/>
    <m/>
    <m/>
    <m/>
    <m/>
    <m/>
    <s v="O003001452"/>
    <m/>
    <m/>
    <n v="20240430"/>
    <m/>
    <m/>
    <n v="20240430"/>
    <n v="8600669427"/>
    <m/>
    <m/>
    <s v="PAGO INTERBANC CAJA DE COMPENS"/>
    <m/>
    <x v="4"/>
    <n v="8626224"/>
    <n v="4"/>
  </r>
  <r>
    <x v="4"/>
    <d v="2024-04-30T00:00:00"/>
    <s v="PAGO INCAP"/>
    <s v="O003"/>
    <m/>
    <n v="102"/>
    <s v="S"/>
    <n v="1533010002"/>
    <m/>
    <m/>
    <m/>
    <m/>
    <m/>
    <m/>
    <m/>
    <m/>
    <n v="-19238721"/>
    <s v="COP"/>
    <m/>
    <m/>
    <m/>
    <m/>
    <m/>
    <m/>
    <m/>
    <s v="O003001452"/>
    <m/>
    <m/>
    <n v="20240430"/>
    <m/>
    <m/>
    <n v="20240430"/>
    <n v="8903030935"/>
    <m/>
    <m/>
    <s v="COMFENALCO VALLE"/>
    <m/>
    <x v="0"/>
    <n v="19238721"/>
    <n v="4"/>
  </r>
  <r>
    <x v="4"/>
    <d v="2024-04-30T00:00:00"/>
    <s v="PAGO INCAP"/>
    <s v="O003"/>
    <m/>
    <n v="103"/>
    <s v="S"/>
    <n v="1533010002"/>
    <m/>
    <m/>
    <m/>
    <m/>
    <m/>
    <m/>
    <m/>
    <m/>
    <n v="-18797583"/>
    <s v="COP"/>
    <m/>
    <m/>
    <m/>
    <m/>
    <m/>
    <m/>
    <m/>
    <s v="O003001452"/>
    <m/>
    <m/>
    <n v="20240430"/>
    <m/>
    <m/>
    <n v="20240430"/>
    <n v="9001562642"/>
    <m/>
    <m/>
    <s v="PAGO DE PROV NUEVA EPS S A"/>
    <m/>
    <x v="5"/>
    <n v="18797583"/>
    <n v="4"/>
  </r>
  <r>
    <x v="5"/>
    <d v="2024-05-31T00:00:00"/>
    <s v="PAGO INCAP"/>
    <s v="O003"/>
    <m/>
    <n v="66"/>
    <s v="S"/>
    <n v="1533010002"/>
    <m/>
    <m/>
    <m/>
    <m/>
    <m/>
    <m/>
    <m/>
    <m/>
    <n v="-16590832"/>
    <s v="COP"/>
    <m/>
    <m/>
    <m/>
    <m/>
    <m/>
    <m/>
    <m/>
    <s v="O003001452"/>
    <m/>
    <m/>
    <n v="20240531"/>
    <m/>
    <m/>
    <n v="20240531"/>
    <n v="8000887022"/>
    <m/>
    <m/>
    <s v="PAGO DE PROV EPS SURAMERICAN"/>
    <m/>
    <x v="6"/>
    <n v="16590832"/>
    <n v="5"/>
  </r>
  <r>
    <x v="5"/>
    <d v="2024-05-31T00:00:00"/>
    <s v="PAGO INCAP"/>
    <s v="O003"/>
    <m/>
    <n v="67"/>
    <s v="S"/>
    <n v="1533010002"/>
    <m/>
    <m/>
    <m/>
    <m/>
    <m/>
    <m/>
    <m/>
    <m/>
    <n v="-6757008"/>
    <s v="COP"/>
    <m/>
    <m/>
    <m/>
    <m/>
    <m/>
    <m/>
    <m/>
    <s v="O003001452"/>
    <m/>
    <m/>
    <n v="20240531"/>
    <m/>
    <m/>
    <n v="20240531"/>
    <n v="8001309074"/>
    <m/>
    <m/>
    <s v="PAGO DE PROV SALUD TOTAL EPS"/>
    <m/>
    <x v="0"/>
    <n v="6757008"/>
    <n v="5"/>
  </r>
  <r>
    <x v="5"/>
    <d v="2024-05-31T00:00:00"/>
    <s v="PAGO INCAP"/>
    <s v="O003"/>
    <m/>
    <n v="68"/>
    <s v="S"/>
    <n v="1533010002"/>
    <m/>
    <m/>
    <m/>
    <m/>
    <m/>
    <m/>
    <m/>
    <m/>
    <n v="-4278379"/>
    <s v="COP"/>
    <m/>
    <m/>
    <m/>
    <m/>
    <m/>
    <m/>
    <m/>
    <s v="O003001452"/>
    <m/>
    <m/>
    <n v="20240531"/>
    <m/>
    <m/>
    <n v="20240531"/>
    <n v="8002492410"/>
    <m/>
    <m/>
    <s v="PAGO INTERBANC COOSALUD-ENTIDA"/>
    <m/>
    <x v="0"/>
    <n v="4278379"/>
    <n v="5"/>
  </r>
  <r>
    <x v="5"/>
    <d v="2024-05-31T00:00:00"/>
    <s v="PAGO INCAP"/>
    <s v="O003"/>
    <m/>
    <n v="69"/>
    <s v="S"/>
    <n v="1533010002"/>
    <m/>
    <m/>
    <m/>
    <m/>
    <m/>
    <m/>
    <m/>
    <m/>
    <n v="-48757908"/>
    <s v="COP"/>
    <m/>
    <m/>
    <m/>
    <m/>
    <m/>
    <m/>
    <m/>
    <s v="O003001452"/>
    <m/>
    <m/>
    <n v="20240531"/>
    <m/>
    <m/>
    <n v="20240531"/>
    <n v="8002514406"/>
    <m/>
    <m/>
    <s v="PAGO INTERBANC EPS SANITAS S A"/>
    <m/>
    <x v="1"/>
    <n v="48757908"/>
    <n v="5"/>
  </r>
  <r>
    <x v="5"/>
    <d v="2024-05-31T00:00:00"/>
    <s v="PAGO INCAP"/>
    <s v="O003"/>
    <m/>
    <n v="70"/>
    <s v="S"/>
    <n v="1533010002"/>
    <m/>
    <m/>
    <m/>
    <m/>
    <m/>
    <m/>
    <m/>
    <m/>
    <n v="-4915334"/>
    <s v="COP"/>
    <m/>
    <m/>
    <m/>
    <m/>
    <m/>
    <m/>
    <m/>
    <s v="O003001452"/>
    <m/>
    <m/>
    <n v="20240531"/>
    <m/>
    <m/>
    <n v="20240531"/>
    <n v="8050011572"/>
    <m/>
    <m/>
    <s v="PAGO INTERBANC EPS  SOS S A"/>
    <m/>
    <x v="0"/>
    <n v="4915334"/>
    <n v="5"/>
  </r>
  <r>
    <x v="5"/>
    <d v="2024-05-31T00:00:00"/>
    <s v="PAGO INCAP"/>
    <s v="O003"/>
    <m/>
    <n v="71"/>
    <s v="S"/>
    <n v="1533010002"/>
    <m/>
    <m/>
    <m/>
    <m/>
    <m/>
    <m/>
    <m/>
    <m/>
    <n v="-43334"/>
    <s v="COP"/>
    <m/>
    <m/>
    <m/>
    <m/>
    <m/>
    <m/>
    <m/>
    <s v="O003001452"/>
    <m/>
    <m/>
    <n v="20240531"/>
    <m/>
    <m/>
    <n v="20240531"/>
    <n v="8060083947"/>
    <m/>
    <m/>
    <s v="PAGO DE PROV ASOCIACION MUTU"/>
    <m/>
    <x v="0"/>
    <n v="43334"/>
    <n v="5"/>
  </r>
  <r>
    <x v="5"/>
    <d v="2024-05-31T00:00:00"/>
    <s v="PAGO INCAP"/>
    <s v="O003"/>
    <m/>
    <n v="72"/>
    <s v="S"/>
    <n v="1533010002"/>
    <m/>
    <m/>
    <m/>
    <m/>
    <m/>
    <m/>
    <m/>
    <m/>
    <n v="-1560012"/>
    <s v="COP"/>
    <m/>
    <m/>
    <m/>
    <m/>
    <m/>
    <m/>
    <m/>
    <s v="O003001452"/>
    <m/>
    <m/>
    <n v="20240531"/>
    <m/>
    <m/>
    <n v="20240531"/>
    <n v="8060083947"/>
    <m/>
    <m/>
    <s v="PAGO INTERBANC MUTUAL SER EPS"/>
    <m/>
    <x v="0"/>
    <n v="1560012"/>
    <n v="5"/>
  </r>
  <r>
    <x v="5"/>
    <d v="2024-05-31T00:00:00"/>
    <s v="PAGO INCAP"/>
    <s v="O003"/>
    <m/>
    <n v="73"/>
    <s v="S"/>
    <n v="1533010002"/>
    <m/>
    <m/>
    <m/>
    <m/>
    <m/>
    <m/>
    <m/>
    <m/>
    <n v="-1473356"/>
    <s v="COP"/>
    <m/>
    <m/>
    <m/>
    <m/>
    <m/>
    <m/>
    <m/>
    <s v="O003001452"/>
    <m/>
    <m/>
    <n v="20240531"/>
    <m/>
    <m/>
    <n v="20240531"/>
    <n v="8140003371"/>
    <m/>
    <m/>
    <s v="PAGO INTERBANC EMSSANAR ENTIDA"/>
    <m/>
    <x v="2"/>
    <n v="1473356"/>
    <n v="5"/>
  </r>
  <r>
    <x v="5"/>
    <d v="2024-05-31T00:00:00"/>
    <s v="PAGO INCAP"/>
    <s v="O003"/>
    <m/>
    <n v="74"/>
    <s v="S"/>
    <n v="1533010002"/>
    <m/>
    <m/>
    <m/>
    <m/>
    <m/>
    <m/>
    <m/>
    <m/>
    <n v="-11480473"/>
    <s v="COP"/>
    <m/>
    <m/>
    <m/>
    <m/>
    <m/>
    <m/>
    <m/>
    <s v="O003001452"/>
    <m/>
    <m/>
    <n v="20240531"/>
    <m/>
    <m/>
    <n v="20240531"/>
    <n v="8300035647"/>
    <m/>
    <m/>
    <s v="PAGO INTERBANC EPS FAMISANAR S"/>
    <m/>
    <x v="3"/>
    <n v="11480473"/>
    <n v="5"/>
  </r>
  <r>
    <x v="5"/>
    <d v="2024-05-31T00:00:00"/>
    <s v="PAGO INCAP"/>
    <s v="O003"/>
    <m/>
    <n v="75"/>
    <s v="S"/>
    <n v="1533010002"/>
    <m/>
    <m/>
    <m/>
    <m/>
    <m/>
    <m/>
    <m/>
    <m/>
    <n v="-6094960"/>
    <s v="COP"/>
    <m/>
    <m/>
    <m/>
    <m/>
    <m/>
    <m/>
    <m/>
    <s v="O003001452"/>
    <m/>
    <m/>
    <n v="20240531"/>
    <m/>
    <m/>
    <n v="20240531"/>
    <n v="8301138310"/>
    <m/>
    <m/>
    <s v="PAGO DE PROV ALIANSALUD EPS"/>
    <m/>
    <x v="0"/>
    <n v="6094960"/>
    <n v="5"/>
  </r>
  <r>
    <x v="5"/>
    <d v="2024-05-31T00:00:00"/>
    <s v="PAGO INCAP"/>
    <s v="O003"/>
    <m/>
    <n v="76"/>
    <s v="S"/>
    <n v="1533010002"/>
    <m/>
    <m/>
    <m/>
    <m/>
    <m/>
    <m/>
    <m/>
    <m/>
    <n v="-20904576"/>
    <s v="COP"/>
    <m/>
    <m/>
    <m/>
    <m/>
    <m/>
    <m/>
    <m/>
    <s v="O003001452"/>
    <m/>
    <m/>
    <n v="20240531"/>
    <m/>
    <m/>
    <n v="20240531"/>
    <n v="8600021839"/>
    <m/>
    <m/>
    <s v="PAGO INTERBANC AXA COLPATRIA S"/>
    <m/>
    <x v="0"/>
    <n v="20904576"/>
    <n v="5"/>
  </r>
  <r>
    <x v="5"/>
    <d v="2024-05-31T00:00:00"/>
    <s v="PAGO INCAP"/>
    <s v="O003"/>
    <m/>
    <n v="77"/>
    <s v="S"/>
    <n v="1533010002"/>
    <m/>
    <m/>
    <m/>
    <m/>
    <m/>
    <m/>
    <m/>
    <m/>
    <n v="-4130041"/>
    <s v="COP"/>
    <m/>
    <m/>
    <m/>
    <m/>
    <m/>
    <m/>
    <m/>
    <s v="O003001452"/>
    <m/>
    <m/>
    <n v="20240531"/>
    <m/>
    <m/>
    <n v="20240531"/>
    <n v="8600669427"/>
    <m/>
    <m/>
    <s v="PAGO INTERBANC CAJA DE COMPENS"/>
    <m/>
    <x v="4"/>
    <n v="4130041"/>
    <n v="5"/>
  </r>
  <r>
    <x v="5"/>
    <d v="2024-05-31T00:00:00"/>
    <s v="PAGO INCAP"/>
    <s v="O003"/>
    <m/>
    <n v="78"/>
    <s v="S"/>
    <n v="1533010002"/>
    <m/>
    <m/>
    <m/>
    <m/>
    <m/>
    <m/>
    <m/>
    <m/>
    <n v="-28733967"/>
    <s v="COP"/>
    <m/>
    <m/>
    <m/>
    <m/>
    <m/>
    <m/>
    <m/>
    <s v="O003001452"/>
    <m/>
    <m/>
    <n v="20240531"/>
    <m/>
    <m/>
    <n v="20240531"/>
    <n v="9001562642"/>
    <m/>
    <m/>
    <s v="PAGO DE PROV NUEVA EPS S A"/>
    <m/>
    <x v="5"/>
    <n v="28733967"/>
    <n v="5"/>
  </r>
  <r>
    <x v="6"/>
    <d v="2024-06-30T00:00:00"/>
    <s v="PAGO INCAP"/>
    <s v="O003"/>
    <m/>
    <n v="54"/>
    <s v="S"/>
    <n v="1533010002"/>
    <m/>
    <m/>
    <m/>
    <m/>
    <m/>
    <m/>
    <m/>
    <m/>
    <n v="-36563373"/>
    <s v="COP"/>
    <m/>
    <m/>
    <m/>
    <m/>
    <m/>
    <m/>
    <m/>
    <s v="O003001452"/>
    <m/>
    <m/>
    <n v="20240630"/>
    <m/>
    <m/>
    <n v="20240630"/>
    <n v="8000887022"/>
    <m/>
    <m/>
    <s v="PAGO DE PROV EPS SURAMERICAN"/>
    <m/>
    <x v="6"/>
    <n v="36563373"/>
    <n v="6"/>
  </r>
  <r>
    <x v="6"/>
    <d v="2024-06-30T00:00:00"/>
    <s v="PAGO INCAP"/>
    <s v="O003"/>
    <m/>
    <n v="55"/>
    <s v="S"/>
    <n v="1533010002"/>
    <m/>
    <m/>
    <m/>
    <m/>
    <m/>
    <m/>
    <m/>
    <m/>
    <n v="-1346004"/>
    <s v="COP"/>
    <m/>
    <m/>
    <m/>
    <m/>
    <m/>
    <m/>
    <m/>
    <s v="O003001452"/>
    <m/>
    <m/>
    <n v="20240630"/>
    <m/>
    <m/>
    <n v="20240630"/>
    <n v="8001309074"/>
    <m/>
    <m/>
    <s v="PAGO DE PROV SALUD TOTAL EPS"/>
    <m/>
    <x v="0"/>
    <n v="1346004"/>
    <n v="6"/>
  </r>
  <r>
    <x v="6"/>
    <d v="2024-06-30T00:00:00"/>
    <s v="PAGO INCAP"/>
    <s v="O003"/>
    <m/>
    <n v="56"/>
    <s v="S"/>
    <n v="1533010002"/>
    <m/>
    <m/>
    <m/>
    <m/>
    <m/>
    <m/>
    <m/>
    <m/>
    <n v="-1690002"/>
    <s v="COP"/>
    <m/>
    <m/>
    <m/>
    <m/>
    <m/>
    <m/>
    <m/>
    <s v="O003001452"/>
    <m/>
    <m/>
    <n v="20240630"/>
    <m/>
    <m/>
    <n v="20240630"/>
    <n v="8002492410"/>
    <m/>
    <m/>
    <s v="PAGO INTERBANC COOSALUD-ENTIDA"/>
    <m/>
    <x v="0"/>
    <n v="1690002"/>
    <n v="6"/>
  </r>
  <r>
    <x v="6"/>
    <d v="2024-06-30T00:00:00"/>
    <s v="PAGO INCAP"/>
    <s v="O003"/>
    <m/>
    <n v="57"/>
    <s v="S"/>
    <n v="1533010002"/>
    <m/>
    <m/>
    <m/>
    <m/>
    <m/>
    <m/>
    <m/>
    <m/>
    <n v="-73300637"/>
    <s v="COP"/>
    <m/>
    <m/>
    <m/>
    <m/>
    <m/>
    <m/>
    <m/>
    <s v="O003001452"/>
    <m/>
    <m/>
    <n v="20240630"/>
    <m/>
    <m/>
    <n v="20240630"/>
    <n v="8002514406"/>
    <m/>
    <m/>
    <s v="PAGO INTERBANC EPS SANITAS S A"/>
    <m/>
    <x v="1"/>
    <n v="73300637"/>
    <n v="6"/>
  </r>
  <r>
    <x v="6"/>
    <d v="2024-06-30T00:00:00"/>
    <s v="PAGO INCAP"/>
    <s v="O003"/>
    <m/>
    <n v="58"/>
    <s v="S"/>
    <n v="1533010002"/>
    <m/>
    <m/>
    <m/>
    <m/>
    <m/>
    <m/>
    <m/>
    <m/>
    <n v="-140871"/>
    <s v="COP"/>
    <m/>
    <m/>
    <m/>
    <m/>
    <m/>
    <m/>
    <m/>
    <s v="O003001452"/>
    <m/>
    <m/>
    <n v="20240630"/>
    <m/>
    <m/>
    <n v="20240630"/>
    <n v="8050011572"/>
    <m/>
    <m/>
    <s v="PAGO INTERBANC EPS  SOS S A"/>
    <m/>
    <x v="0"/>
    <n v="140871"/>
    <n v="6"/>
  </r>
  <r>
    <x v="6"/>
    <d v="2024-06-30T00:00:00"/>
    <s v="PAGO INCAP"/>
    <s v="O003"/>
    <m/>
    <n v="59"/>
    <s v="S"/>
    <n v="1533010002"/>
    <m/>
    <m/>
    <m/>
    <m/>
    <m/>
    <m/>
    <m/>
    <m/>
    <n v="-130000"/>
    <s v="COP"/>
    <m/>
    <m/>
    <m/>
    <m/>
    <m/>
    <m/>
    <m/>
    <s v="O003001452"/>
    <m/>
    <m/>
    <n v="20240630"/>
    <m/>
    <m/>
    <n v="20240630"/>
    <n v="8060083947"/>
    <m/>
    <m/>
    <s v="PAGO DE PROV ASOCIACION MUTU"/>
    <m/>
    <x v="0"/>
    <n v="130000"/>
    <n v="6"/>
  </r>
  <r>
    <x v="6"/>
    <d v="2024-06-30T00:00:00"/>
    <s v="PAGO INCAP"/>
    <s v="O003"/>
    <m/>
    <n v="60"/>
    <s v="S"/>
    <n v="1533010002"/>
    <m/>
    <m/>
    <m/>
    <m/>
    <m/>
    <m/>
    <m/>
    <m/>
    <n v="-323334"/>
    <s v="COP"/>
    <m/>
    <m/>
    <m/>
    <m/>
    <m/>
    <m/>
    <m/>
    <s v="O003001452"/>
    <m/>
    <m/>
    <n v="20240630"/>
    <m/>
    <m/>
    <n v="20240630"/>
    <n v="8060083947"/>
    <m/>
    <m/>
    <s v="PAGO INTERBANC MUTUAL SER EPS"/>
    <m/>
    <x v="0"/>
    <n v="323334"/>
    <n v="6"/>
  </r>
  <r>
    <x v="6"/>
    <d v="2024-06-30T00:00:00"/>
    <s v="PAGO INCAP"/>
    <s v="O003"/>
    <m/>
    <n v="61"/>
    <s v="S"/>
    <n v="1533010002"/>
    <m/>
    <m/>
    <m/>
    <m/>
    <m/>
    <m/>
    <m/>
    <m/>
    <n v="-216670"/>
    <s v="COP"/>
    <m/>
    <m/>
    <m/>
    <m/>
    <m/>
    <m/>
    <m/>
    <s v="O003001452"/>
    <m/>
    <m/>
    <n v="20240630"/>
    <m/>
    <m/>
    <n v="20240630"/>
    <n v="8140003371"/>
    <m/>
    <m/>
    <s v="PAGO INTERBANC EMSSANAR EMPRES"/>
    <m/>
    <x v="2"/>
    <n v="216670"/>
    <n v="6"/>
  </r>
  <r>
    <x v="6"/>
    <d v="2024-06-30T00:00:00"/>
    <s v="PAGO INCAP"/>
    <s v="O003"/>
    <m/>
    <n v="62"/>
    <s v="S"/>
    <n v="1533010002"/>
    <m/>
    <m/>
    <m/>
    <m/>
    <m/>
    <m/>
    <m/>
    <m/>
    <n v="-13305834"/>
    <s v="COP"/>
    <m/>
    <m/>
    <m/>
    <m/>
    <m/>
    <m/>
    <m/>
    <s v="O003001452"/>
    <m/>
    <m/>
    <n v="20240630"/>
    <m/>
    <m/>
    <n v="20240630"/>
    <n v="8300035647"/>
    <m/>
    <m/>
    <s v="PAGO INTERBANC EPS FAMISANAR S"/>
    <m/>
    <x v="3"/>
    <n v="13305834"/>
    <n v="6"/>
  </r>
  <r>
    <x v="6"/>
    <d v="2024-06-30T00:00:00"/>
    <s v="PAGO INCAP"/>
    <s v="O003"/>
    <m/>
    <n v="63"/>
    <s v="S"/>
    <n v="1533010002"/>
    <m/>
    <m/>
    <m/>
    <m/>
    <m/>
    <m/>
    <m/>
    <m/>
    <n v="-5643423"/>
    <s v="COP"/>
    <m/>
    <m/>
    <m/>
    <m/>
    <m/>
    <m/>
    <m/>
    <s v="O003001452"/>
    <m/>
    <m/>
    <n v="20240630"/>
    <m/>
    <m/>
    <n v="20240630"/>
    <n v="8301138310"/>
    <m/>
    <m/>
    <s v="PAGO DE PROV ALIANSALUD EPS"/>
    <m/>
    <x v="0"/>
    <n v="5643423"/>
    <n v="6"/>
  </r>
  <r>
    <x v="6"/>
    <d v="2024-06-30T00:00:00"/>
    <s v="PAGO INCAP"/>
    <s v="O003"/>
    <m/>
    <n v="64"/>
    <s v="S"/>
    <n v="1533010002"/>
    <m/>
    <m/>
    <m/>
    <m/>
    <m/>
    <m/>
    <m/>
    <m/>
    <n v="-8352907"/>
    <s v="COP"/>
    <m/>
    <m/>
    <m/>
    <m/>
    <m/>
    <m/>
    <m/>
    <s v="O003001452"/>
    <m/>
    <m/>
    <n v="20240630"/>
    <m/>
    <m/>
    <n v="20240630"/>
    <n v="8600021839"/>
    <m/>
    <m/>
    <s v="PAGO INTERBANC AXA COLPATRIA S"/>
    <m/>
    <x v="0"/>
    <n v="8352907"/>
    <n v="6"/>
  </r>
  <r>
    <x v="6"/>
    <d v="2024-06-30T00:00:00"/>
    <s v="PAGO INCAP"/>
    <s v="O003"/>
    <m/>
    <n v="65"/>
    <s v="S"/>
    <n v="1533010002"/>
    <m/>
    <m/>
    <m/>
    <m/>
    <m/>
    <m/>
    <m/>
    <m/>
    <n v="-2956030"/>
    <s v="COP"/>
    <m/>
    <m/>
    <m/>
    <m/>
    <m/>
    <m/>
    <m/>
    <s v="O003001452"/>
    <m/>
    <m/>
    <n v="20240630"/>
    <m/>
    <m/>
    <n v="20240630"/>
    <n v="8600669427"/>
    <m/>
    <m/>
    <s v="PAGO INTERBANC CAJA DE COMPENS"/>
    <m/>
    <x v="4"/>
    <n v="2956030"/>
    <n v="6"/>
  </r>
  <r>
    <x v="6"/>
    <d v="2024-06-30T00:00:00"/>
    <s v="PAGO INCAP"/>
    <s v="O003"/>
    <m/>
    <n v="66"/>
    <s v="S"/>
    <n v="1533010002"/>
    <m/>
    <m/>
    <m/>
    <m/>
    <m/>
    <m/>
    <m/>
    <m/>
    <n v="-39516027"/>
    <s v="COP"/>
    <m/>
    <m/>
    <m/>
    <m/>
    <m/>
    <m/>
    <m/>
    <s v="O003001452"/>
    <m/>
    <m/>
    <n v="20240630"/>
    <m/>
    <m/>
    <n v="20240630"/>
    <n v="9001562642"/>
    <m/>
    <m/>
    <s v="PAGO DE PROV NUEVA EPS S A"/>
    <m/>
    <x v="5"/>
    <n v="39516027"/>
    <n v="6"/>
  </r>
  <r>
    <x v="7"/>
    <d v="2024-07-31T00:00:00"/>
    <s v="PAGO INCAP"/>
    <s v="O003"/>
    <m/>
    <n v="57"/>
    <s v="S"/>
    <n v="1533010002"/>
    <m/>
    <m/>
    <m/>
    <m/>
    <m/>
    <m/>
    <m/>
    <m/>
    <n v="-38074012"/>
    <s v="COP"/>
    <m/>
    <m/>
    <m/>
    <m/>
    <m/>
    <m/>
    <m/>
    <s v="O003001452"/>
    <m/>
    <m/>
    <n v="20240731"/>
    <m/>
    <m/>
    <n v="20240731"/>
    <n v="8000887022"/>
    <m/>
    <m/>
    <s v="PAGO DE PROV EPS SURAMERICAN"/>
    <m/>
    <x v="6"/>
    <n v="38074012"/>
    <n v="7"/>
  </r>
  <r>
    <x v="7"/>
    <d v="2024-07-31T00:00:00"/>
    <s v="PAGO INCAP"/>
    <s v="O003"/>
    <m/>
    <n v="58"/>
    <s v="S"/>
    <n v="1533010002"/>
    <m/>
    <m/>
    <m/>
    <m/>
    <m/>
    <m/>
    <m/>
    <m/>
    <n v="-12766756"/>
    <s v="COP"/>
    <m/>
    <m/>
    <m/>
    <m/>
    <m/>
    <m/>
    <m/>
    <s v="O003001452"/>
    <m/>
    <m/>
    <n v="20240731"/>
    <m/>
    <m/>
    <n v="20240731"/>
    <n v="8001309074"/>
    <m/>
    <m/>
    <s v="PAGO DE PROV SALUD TOTAL EPS"/>
    <m/>
    <x v="0"/>
    <n v="12766756"/>
    <n v="7"/>
  </r>
  <r>
    <x v="7"/>
    <d v="2024-07-31T00:00:00"/>
    <s v="PAGO INCAP"/>
    <s v="O003"/>
    <m/>
    <n v="59"/>
    <s v="S"/>
    <n v="1533010002"/>
    <m/>
    <m/>
    <m/>
    <m/>
    <m/>
    <m/>
    <m/>
    <m/>
    <n v="-2296669"/>
    <s v="COP"/>
    <m/>
    <m/>
    <m/>
    <m/>
    <m/>
    <m/>
    <m/>
    <s v="O003001452"/>
    <m/>
    <m/>
    <n v="20240731"/>
    <m/>
    <m/>
    <n v="20240731"/>
    <n v="8002492410"/>
    <m/>
    <m/>
    <s v="PAGO INTERBANC COOSALUD-ENTIDA"/>
    <m/>
    <x v="0"/>
    <n v="2296669"/>
    <n v="7"/>
  </r>
  <r>
    <x v="7"/>
    <d v="2024-07-31T00:00:00"/>
    <s v="PAGO INCAP"/>
    <s v="O003"/>
    <m/>
    <n v="60"/>
    <s v="S"/>
    <n v="1533010002"/>
    <m/>
    <m/>
    <m/>
    <m/>
    <m/>
    <m/>
    <m/>
    <m/>
    <n v="-28671155"/>
    <s v="COP"/>
    <m/>
    <m/>
    <m/>
    <m/>
    <m/>
    <m/>
    <m/>
    <s v="O003001452"/>
    <m/>
    <m/>
    <n v="20240731"/>
    <m/>
    <m/>
    <n v="20240731"/>
    <n v="8002514406"/>
    <m/>
    <m/>
    <s v="PAGO INTERBANC EPS SANITAS S A"/>
    <m/>
    <x v="1"/>
    <n v="28671155"/>
    <n v="7"/>
  </r>
  <r>
    <x v="7"/>
    <d v="2024-07-31T00:00:00"/>
    <s v="PAGO INCAP"/>
    <s v="O003"/>
    <m/>
    <n v="61"/>
    <s v="S"/>
    <n v="1533010002"/>
    <m/>
    <m/>
    <m/>
    <m/>
    <m/>
    <m/>
    <m/>
    <m/>
    <n v="-362973"/>
    <s v="COP"/>
    <m/>
    <m/>
    <m/>
    <m/>
    <m/>
    <m/>
    <m/>
    <s v="O003001452"/>
    <m/>
    <m/>
    <n v="20240731"/>
    <m/>
    <m/>
    <n v="20240731"/>
    <n v="8050011572"/>
    <m/>
    <m/>
    <s v="PAGO INTERBANC EPS  SOS S A"/>
    <m/>
    <x v="0"/>
    <n v="362973"/>
    <n v="7"/>
  </r>
  <r>
    <x v="7"/>
    <d v="2024-07-31T00:00:00"/>
    <s v="PAGO INCAP"/>
    <s v="O003"/>
    <m/>
    <n v="62"/>
    <s v="S"/>
    <n v="1533010002"/>
    <m/>
    <m/>
    <m/>
    <m/>
    <m/>
    <m/>
    <m/>
    <m/>
    <n v="-866680"/>
    <s v="COP"/>
    <m/>
    <m/>
    <m/>
    <m/>
    <m/>
    <m/>
    <m/>
    <s v="O003001452"/>
    <m/>
    <m/>
    <n v="20240731"/>
    <m/>
    <m/>
    <n v="20240731"/>
    <n v="8140003371"/>
    <m/>
    <m/>
    <s v="PAGO INTERBANC EMSSANAR EMPRES"/>
    <m/>
    <x v="2"/>
    <n v="866680"/>
    <n v="7"/>
  </r>
  <r>
    <x v="7"/>
    <d v="2024-07-31T00:00:00"/>
    <s v="PAGO INCAP"/>
    <s v="O003"/>
    <m/>
    <n v="63"/>
    <s v="S"/>
    <n v="1533010002"/>
    <m/>
    <m/>
    <m/>
    <m/>
    <m/>
    <m/>
    <m/>
    <m/>
    <n v="-3410899"/>
    <s v="COP"/>
    <m/>
    <m/>
    <m/>
    <m/>
    <m/>
    <m/>
    <m/>
    <s v="O003001452"/>
    <m/>
    <m/>
    <n v="20240731"/>
    <m/>
    <m/>
    <n v="20240731"/>
    <n v="8301138310"/>
    <m/>
    <m/>
    <s v="PAGO DE PROV ALIANSALUD EPS"/>
    <m/>
    <x v="0"/>
    <n v="3410899"/>
    <n v="7"/>
  </r>
  <r>
    <x v="7"/>
    <d v="2024-07-31T00:00:00"/>
    <s v="PAGO INCAP"/>
    <s v="O003"/>
    <m/>
    <n v="64"/>
    <s v="S"/>
    <n v="1533010002"/>
    <m/>
    <m/>
    <m/>
    <m/>
    <m/>
    <m/>
    <m/>
    <m/>
    <n v="-10504478"/>
    <s v="COP"/>
    <m/>
    <m/>
    <m/>
    <m/>
    <m/>
    <m/>
    <m/>
    <s v="O003001452"/>
    <m/>
    <m/>
    <n v="20240731"/>
    <m/>
    <m/>
    <n v="20240731"/>
    <n v="8600021839"/>
    <m/>
    <m/>
    <s v="PAGO INTERBANC AXA COLPATRIA S"/>
    <m/>
    <x v="0"/>
    <n v="10504478"/>
    <n v="7"/>
  </r>
  <r>
    <x v="7"/>
    <d v="2024-07-31T00:00:00"/>
    <s v="PAGO INCAP"/>
    <s v="O003"/>
    <m/>
    <n v="65"/>
    <s v="S"/>
    <n v="1533010002"/>
    <m/>
    <m/>
    <m/>
    <m/>
    <m/>
    <m/>
    <m/>
    <m/>
    <n v="-10427008"/>
    <s v="COP"/>
    <m/>
    <m/>
    <m/>
    <m/>
    <m/>
    <m/>
    <m/>
    <s v="O003001452"/>
    <m/>
    <m/>
    <n v="20240731"/>
    <m/>
    <m/>
    <n v="20240731"/>
    <n v="8600669427"/>
    <m/>
    <m/>
    <s v="PAGO INTERBANC CAJA DE COMPENS"/>
    <m/>
    <x v="4"/>
    <n v="10427008"/>
    <n v="7"/>
  </r>
  <r>
    <x v="7"/>
    <d v="2024-07-31T00:00:00"/>
    <s v="PAGO INCAP"/>
    <s v="O003"/>
    <m/>
    <n v="66"/>
    <s v="S"/>
    <n v="1533010002"/>
    <m/>
    <m/>
    <m/>
    <m/>
    <m/>
    <m/>
    <m/>
    <m/>
    <n v="-12119203"/>
    <s v="COP"/>
    <m/>
    <m/>
    <m/>
    <m/>
    <m/>
    <m/>
    <m/>
    <s v="O003001452"/>
    <m/>
    <m/>
    <n v="20240731"/>
    <m/>
    <m/>
    <n v="20240731"/>
    <n v="9001562642"/>
    <m/>
    <m/>
    <s v="PAGO DE PROV NUEVA EPS S A"/>
    <m/>
    <x v="5"/>
    <n v="12119203"/>
    <n v="7"/>
  </r>
  <r>
    <x v="7"/>
    <d v="2024-07-31T00:00:00"/>
    <s v="PAGO INCAP"/>
    <s v="O003"/>
    <m/>
    <n v="67"/>
    <s v="S"/>
    <n v="1533010002"/>
    <m/>
    <m/>
    <m/>
    <m/>
    <m/>
    <m/>
    <m/>
    <m/>
    <n v="-812000"/>
    <s v="COP"/>
    <m/>
    <m/>
    <m/>
    <m/>
    <m/>
    <m/>
    <m/>
    <s v="O003001452"/>
    <m/>
    <m/>
    <n v="20240731"/>
    <m/>
    <m/>
    <n v="20240731"/>
    <n v="9002983729"/>
    <m/>
    <m/>
    <s v="PAGO DE PROV CAPITAL SALUD E"/>
    <m/>
    <x v="0"/>
    <n v="812000"/>
    <n v="7"/>
  </r>
  <r>
    <x v="7"/>
    <d v="2024-07-31T00:00:00"/>
    <s v="PAGO INCAP"/>
    <s v="O003"/>
    <m/>
    <n v="68"/>
    <s v="S"/>
    <n v="1533010002"/>
    <m/>
    <m/>
    <m/>
    <m/>
    <m/>
    <m/>
    <m/>
    <m/>
    <n v="-43334"/>
    <s v="COP"/>
    <m/>
    <m/>
    <m/>
    <m/>
    <m/>
    <m/>
    <m/>
    <s v="O003001452"/>
    <m/>
    <m/>
    <n v="20240731"/>
    <m/>
    <m/>
    <n v="20240731"/>
    <n v="9006043500"/>
    <m/>
    <m/>
    <s v="PAGO DE PROV AMA EPS S.A.S"/>
    <m/>
    <x v="0"/>
    <n v="43334"/>
    <n v="7"/>
  </r>
  <r>
    <x v="8"/>
    <d v="2024-08-31T00:00:00"/>
    <s v="PAGO INCAP"/>
    <s v="O003"/>
    <m/>
    <n v="51"/>
    <s v="S"/>
    <n v="1533010002"/>
    <m/>
    <m/>
    <m/>
    <m/>
    <m/>
    <m/>
    <m/>
    <m/>
    <n v="-53941400"/>
    <s v="COP"/>
    <m/>
    <m/>
    <m/>
    <m/>
    <m/>
    <m/>
    <m/>
    <s v="O003001452"/>
    <m/>
    <m/>
    <n v="20240831"/>
    <m/>
    <m/>
    <n v="20240831"/>
    <n v="8000887022"/>
    <m/>
    <m/>
    <s v="PAGO DE PROV EPS SURAMERICAN"/>
    <m/>
    <x v="6"/>
    <n v="53941400"/>
    <n v="8"/>
  </r>
  <r>
    <x v="8"/>
    <d v="2024-08-31T00:00:00"/>
    <s v="PAGO INCAP"/>
    <s v="O003"/>
    <m/>
    <n v="52"/>
    <s v="S"/>
    <n v="1533010002"/>
    <m/>
    <m/>
    <m/>
    <m/>
    <m/>
    <m/>
    <m/>
    <m/>
    <n v="-2598016"/>
    <s v="COP"/>
    <m/>
    <m/>
    <m/>
    <m/>
    <m/>
    <m/>
    <m/>
    <s v="O003001452"/>
    <m/>
    <m/>
    <n v="20240831"/>
    <m/>
    <m/>
    <n v="20240831"/>
    <n v="8001309074"/>
    <m/>
    <m/>
    <s v="PAGO DE PROV SALUD TOTAL EPS"/>
    <m/>
    <x v="0"/>
    <n v="2598016"/>
    <n v="8"/>
  </r>
  <r>
    <x v="8"/>
    <d v="2024-08-31T00:00:00"/>
    <s v="PAGO INCAP"/>
    <s v="O003"/>
    <m/>
    <n v="53"/>
    <s v="S"/>
    <n v="1533010002"/>
    <m/>
    <m/>
    <m/>
    <m/>
    <m/>
    <m/>
    <m/>
    <m/>
    <n v="-650000"/>
    <s v="COP"/>
    <m/>
    <m/>
    <m/>
    <m/>
    <m/>
    <m/>
    <m/>
    <s v="O003001452"/>
    <m/>
    <m/>
    <n v="20240831"/>
    <m/>
    <m/>
    <n v="20240831"/>
    <n v="8002492410"/>
    <m/>
    <m/>
    <s v="PAGO INTERBANC COOSALUD-ENTIDA"/>
    <m/>
    <x v="0"/>
    <n v="650000"/>
    <n v="8"/>
  </r>
  <r>
    <x v="8"/>
    <d v="2024-08-31T00:00:00"/>
    <s v="PAGO INCAP"/>
    <s v="O003"/>
    <m/>
    <n v="54"/>
    <s v="S"/>
    <n v="1533010002"/>
    <m/>
    <m/>
    <m/>
    <m/>
    <m/>
    <m/>
    <m/>
    <m/>
    <n v="-39791220"/>
    <s v="COP"/>
    <m/>
    <m/>
    <m/>
    <m/>
    <m/>
    <m/>
    <m/>
    <s v="O003001452"/>
    <m/>
    <m/>
    <n v="20240831"/>
    <m/>
    <m/>
    <n v="20240831"/>
    <n v="8002514406"/>
    <m/>
    <m/>
    <s v="PAGO INTERBANC EPS SANITAS S A"/>
    <m/>
    <x v="1"/>
    <n v="39791220"/>
    <n v="8"/>
  </r>
  <r>
    <x v="8"/>
    <d v="2024-08-31T00:00:00"/>
    <s v="PAGO INCAP"/>
    <s v="O003"/>
    <m/>
    <n v="55"/>
    <s v="S"/>
    <n v="1533010002"/>
    <m/>
    <m/>
    <m/>
    <m/>
    <m/>
    <m/>
    <m/>
    <m/>
    <n v="-173334"/>
    <s v="COP"/>
    <m/>
    <m/>
    <m/>
    <m/>
    <m/>
    <m/>
    <m/>
    <s v="O003001452"/>
    <m/>
    <m/>
    <n v="20240831"/>
    <m/>
    <m/>
    <n v="20240831"/>
    <n v="8060083947"/>
    <m/>
    <m/>
    <s v="PAGO INTERBANC MUTUAL SER EPS"/>
    <m/>
    <x v="0"/>
    <n v="173334"/>
    <n v="8"/>
  </r>
  <r>
    <x v="8"/>
    <d v="2024-08-31T00:00:00"/>
    <s v="PAGO INCAP"/>
    <s v="O003"/>
    <m/>
    <n v="56"/>
    <s v="S"/>
    <n v="1533010002"/>
    <m/>
    <m/>
    <m/>
    <m/>
    <m/>
    <m/>
    <m/>
    <m/>
    <n v="-921704"/>
    <s v="COP"/>
    <m/>
    <m/>
    <m/>
    <m/>
    <m/>
    <m/>
    <m/>
    <s v="O003001452"/>
    <m/>
    <m/>
    <n v="20240831"/>
    <m/>
    <m/>
    <n v="20240831"/>
    <n v="8300035647"/>
    <m/>
    <m/>
    <s v="PAGO INTERBANC EPS FAMISANAR S"/>
    <m/>
    <x v="3"/>
    <n v="921704"/>
    <n v="8"/>
  </r>
  <r>
    <x v="8"/>
    <d v="2024-08-31T00:00:00"/>
    <s v="PAGO INCAP"/>
    <s v="O003"/>
    <m/>
    <n v="57"/>
    <s v="S"/>
    <n v="1533010002"/>
    <m/>
    <m/>
    <m/>
    <m/>
    <m/>
    <m/>
    <m/>
    <m/>
    <n v="-10094175"/>
    <s v="COP"/>
    <m/>
    <m/>
    <m/>
    <m/>
    <m/>
    <m/>
    <m/>
    <s v="O003001452"/>
    <m/>
    <m/>
    <n v="20240831"/>
    <m/>
    <m/>
    <n v="20240831"/>
    <n v="8301138310"/>
    <m/>
    <m/>
    <s v="PAGO DE PROV ALIANSALUD EPS"/>
    <m/>
    <x v="0"/>
    <n v="10094175"/>
    <n v="8"/>
  </r>
  <r>
    <x v="8"/>
    <d v="2024-08-31T00:00:00"/>
    <s v="PAGO INCAP"/>
    <s v="O003"/>
    <m/>
    <n v="58"/>
    <s v="S"/>
    <n v="1533010002"/>
    <m/>
    <m/>
    <m/>
    <m/>
    <m/>
    <m/>
    <m/>
    <m/>
    <n v="-19504055"/>
    <s v="COP"/>
    <m/>
    <m/>
    <m/>
    <m/>
    <m/>
    <m/>
    <m/>
    <s v="O003001452"/>
    <m/>
    <m/>
    <n v="20240831"/>
    <m/>
    <m/>
    <n v="20240831"/>
    <n v="8600021839"/>
    <m/>
    <m/>
    <s v="PAGO INTERBANC AXA COLPATRIA S"/>
    <m/>
    <x v="0"/>
    <n v="19504055"/>
    <n v="8"/>
  </r>
  <r>
    <x v="8"/>
    <d v="2024-08-31T00:00:00"/>
    <s v="PAGO INCAP"/>
    <s v="O003"/>
    <m/>
    <n v="59"/>
    <s v="S"/>
    <n v="1533010002"/>
    <m/>
    <m/>
    <m/>
    <m/>
    <m/>
    <m/>
    <m/>
    <m/>
    <n v="-5191380"/>
    <s v="COP"/>
    <m/>
    <m/>
    <m/>
    <m/>
    <m/>
    <m/>
    <m/>
    <s v="O003001452"/>
    <m/>
    <m/>
    <n v="20240831"/>
    <m/>
    <m/>
    <n v="20240831"/>
    <n v="8600669427"/>
    <m/>
    <m/>
    <s v="PAGO INTERBANC CAJA DE COMPENS"/>
    <m/>
    <x v="4"/>
    <n v="5191380"/>
    <n v="8"/>
  </r>
  <r>
    <x v="8"/>
    <d v="2024-08-31T00:00:00"/>
    <s v="PAGO INCAP"/>
    <s v="O003"/>
    <m/>
    <n v="60"/>
    <s v="S"/>
    <n v="1533010002"/>
    <m/>
    <m/>
    <m/>
    <m/>
    <m/>
    <m/>
    <m/>
    <m/>
    <n v="-5980155"/>
    <s v="COP"/>
    <m/>
    <m/>
    <m/>
    <m/>
    <m/>
    <m/>
    <m/>
    <s v="O003001452"/>
    <m/>
    <m/>
    <n v="20240831"/>
    <m/>
    <m/>
    <n v="20240831"/>
    <n v="8903030935"/>
    <m/>
    <m/>
    <s v="PAGO INTERBANC COMFENALCO"/>
    <m/>
    <x v="0"/>
    <n v="5980155"/>
    <n v="8"/>
  </r>
  <r>
    <x v="8"/>
    <d v="2024-08-31T00:00:00"/>
    <s v="PAGO INCAP"/>
    <s v="O003"/>
    <m/>
    <n v="61"/>
    <s v="S"/>
    <n v="1533010002"/>
    <m/>
    <m/>
    <m/>
    <m/>
    <m/>
    <m/>
    <m/>
    <m/>
    <n v="-32189898"/>
    <s v="COP"/>
    <m/>
    <m/>
    <m/>
    <m/>
    <m/>
    <m/>
    <m/>
    <s v="O003001452"/>
    <m/>
    <m/>
    <n v="20240831"/>
    <m/>
    <m/>
    <n v="20240831"/>
    <n v="9001562642"/>
    <m/>
    <m/>
    <s v="PAGO DE PROV NUEVA EPS S A"/>
    <m/>
    <x v="5"/>
    <n v="32189898"/>
    <n v="8"/>
  </r>
  <r>
    <x v="9"/>
    <d v="2024-09-30T00:00:00"/>
    <s v="PAGO INCAP"/>
    <s v="O003"/>
    <m/>
    <n v="42"/>
    <s v="S"/>
    <n v="1533010002"/>
    <m/>
    <m/>
    <m/>
    <m/>
    <m/>
    <m/>
    <m/>
    <m/>
    <n v="-30222489"/>
    <s v="COP"/>
    <m/>
    <m/>
    <m/>
    <m/>
    <m/>
    <m/>
    <m/>
    <s v="O003001452"/>
    <m/>
    <m/>
    <n v="20240930"/>
    <m/>
    <m/>
    <n v="20240930"/>
    <n v="8000887022"/>
    <m/>
    <m/>
    <s v="PAGO DE PROV EPS SURAMERICAN"/>
    <m/>
    <x v="6"/>
    <n v="30222489"/>
    <n v="9"/>
  </r>
  <r>
    <x v="9"/>
    <d v="2024-09-30T00:00:00"/>
    <s v="PAGO INCAP"/>
    <s v="O003"/>
    <m/>
    <n v="43"/>
    <s v="S"/>
    <n v="1533010002"/>
    <m/>
    <m/>
    <m/>
    <m/>
    <m/>
    <m/>
    <m/>
    <m/>
    <n v="-22400074"/>
    <s v="COP"/>
    <m/>
    <m/>
    <m/>
    <m/>
    <m/>
    <m/>
    <m/>
    <s v="O003001452"/>
    <m/>
    <m/>
    <n v="20240930"/>
    <m/>
    <m/>
    <n v="20240930"/>
    <n v="8001309074"/>
    <m/>
    <m/>
    <s v="PAGO DE PROV SALUD TOTAL EPS"/>
    <m/>
    <x v="0"/>
    <n v="22400074"/>
    <n v="9"/>
  </r>
  <r>
    <x v="9"/>
    <d v="2024-09-30T00:00:00"/>
    <s v="PAGO INCAP"/>
    <s v="O003"/>
    <m/>
    <n v="44"/>
    <s v="S"/>
    <n v="1533010002"/>
    <m/>
    <m/>
    <m/>
    <m/>
    <m/>
    <m/>
    <m/>
    <m/>
    <n v="-11361923"/>
    <s v="COP"/>
    <m/>
    <m/>
    <m/>
    <m/>
    <m/>
    <m/>
    <m/>
    <s v="O003001452"/>
    <m/>
    <m/>
    <n v="20240930"/>
    <m/>
    <m/>
    <n v="20240930"/>
    <n v="8002514406"/>
    <m/>
    <m/>
    <s v="PAGO INTERBANC EPS SANITAS S A"/>
    <m/>
    <x v="1"/>
    <n v="11361923"/>
    <n v="9"/>
  </r>
  <r>
    <x v="9"/>
    <d v="2024-09-30T00:00:00"/>
    <s v="PAGO INCAP"/>
    <s v="O003"/>
    <m/>
    <n v="45"/>
    <s v="S"/>
    <n v="1533010002"/>
    <m/>
    <m/>
    <m/>
    <m/>
    <m/>
    <m/>
    <m/>
    <m/>
    <n v="-23833118"/>
    <s v="COP"/>
    <m/>
    <m/>
    <m/>
    <m/>
    <m/>
    <m/>
    <m/>
    <s v="O003001452"/>
    <m/>
    <m/>
    <n v="20240930"/>
    <m/>
    <m/>
    <n v="20240930"/>
    <n v="8300035647"/>
    <m/>
    <m/>
    <s v="PAGO INTERBANC EPS FAMISANAR S"/>
    <m/>
    <x v="3"/>
    <n v="23833118"/>
    <n v="9"/>
  </r>
  <r>
    <x v="9"/>
    <d v="2024-09-30T00:00:00"/>
    <s v="PAGO INCAP"/>
    <s v="O003"/>
    <m/>
    <n v="46"/>
    <s v="S"/>
    <n v="1533010002"/>
    <m/>
    <m/>
    <m/>
    <m/>
    <m/>
    <m/>
    <m/>
    <m/>
    <n v="-27938166"/>
    <s v="COP"/>
    <m/>
    <m/>
    <m/>
    <m/>
    <m/>
    <m/>
    <m/>
    <s v="O003001452"/>
    <m/>
    <m/>
    <n v="20240930"/>
    <m/>
    <m/>
    <n v="20240930"/>
    <n v="8301138310"/>
    <m/>
    <m/>
    <s v="PAGO DE PROV ALIANSALUD EPS"/>
    <m/>
    <x v="0"/>
    <n v="27938166"/>
    <n v="9"/>
  </r>
  <r>
    <x v="9"/>
    <d v="2024-09-30T00:00:00"/>
    <s v="PAGO INCAP"/>
    <s v="O003"/>
    <m/>
    <n v="47"/>
    <s v="S"/>
    <n v="1533010002"/>
    <m/>
    <m/>
    <m/>
    <m/>
    <m/>
    <m/>
    <m/>
    <m/>
    <n v="-2630223"/>
    <s v="COP"/>
    <m/>
    <m/>
    <m/>
    <m/>
    <m/>
    <m/>
    <m/>
    <s v="O003001452"/>
    <m/>
    <m/>
    <n v="20240930"/>
    <m/>
    <m/>
    <n v="20240930"/>
    <n v="8600021839"/>
    <m/>
    <m/>
    <s v="PAGO INTERBANC AXA COLPATRIA S"/>
    <m/>
    <x v="0"/>
    <n v="2630223"/>
    <n v="9"/>
  </r>
  <r>
    <x v="9"/>
    <d v="2024-09-30T00:00:00"/>
    <s v="PAGO INCAP"/>
    <s v="O003"/>
    <m/>
    <n v="48"/>
    <s v="S"/>
    <n v="1533010002"/>
    <m/>
    <m/>
    <m/>
    <m/>
    <m/>
    <m/>
    <m/>
    <m/>
    <n v="-12559118"/>
    <s v="COP"/>
    <m/>
    <m/>
    <m/>
    <m/>
    <m/>
    <m/>
    <m/>
    <s v="O003001452"/>
    <m/>
    <m/>
    <n v="20240930"/>
    <m/>
    <m/>
    <n v="20240930"/>
    <n v="8600669427"/>
    <m/>
    <m/>
    <s v="PAGO INTERBANC CAJA DE COMPENS"/>
    <m/>
    <x v="4"/>
    <n v="12559118"/>
    <n v="9"/>
  </r>
  <r>
    <x v="9"/>
    <d v="2024-09-30T00:00:00"/>
    <s v="PAGO INCAP"/>
    <s v="O003"/>
    <m/>
    <n v="49"/>
    <s v="S"/>
    <n v="1533010002"/>
    <m/>
    <m/>
    <m/>
    <m/>
    <m/>
    <m/>
    <m/>
    <m/>
    <n v="-19208959"/>
    <s v="COP"/>
    <m/>
    <m/>
    <m/>
    <m/>
    <m/>
    <m/>
    <m/>
    <s v="O003001452"/>
    <m/>
    <m/>
    <n v="20240930"/>
    <m/>
    <m/>
    <n v="20240930"/>
    <n v="9001562642"/>
    <m/>
    <m/>
    <s v="PAGO DE PROV NUEVA EPS S A"/>
    <m/>
    <x v="5"/>
    <n v="19208959"/>
    <n v="9"/>
  </r>
  <r>
    <x v="9"/>
    <d v="2024-09-30T00:00:00"/>
    <s v="PAGO INCAP"/>
    <s v="O003"/>
    <m/>
    <n v="52"/>
    <s v="S"/>
    <n v="1533010002"/>
    <m/>
    <m/>
    <m/>
    <m/>
    <m/>
    <m/>
    <m/>
    <m/>
    <n v="5980155"/>
    <s v="COP"/>
    <m/>
    <m/>
    <m/>
    <m/>
    <m/>
    <m/>
    <m/>
    <s v="O003001452"/>
    <m/>
    <m/>
    <n v="20240930"/>
    <m/>
    <m/>
    <n v="20240930"/>
    <n v="8903030935"/>
    <m/>
    <m/>
    <s v="PAGO INTERBANC COMFENALCO"/>
    <m/>
    <x v="0"/>
    <n v="5980155"/>
    <n v="9"/>
  </r>
  <r>
    <x v="9"/>
    <d v="2024-09-30T00:00:00"/>
    <s v="PAGO INCAP"/>
    <s v="O003"/>
    <m/>
    <n v="58"/>
    <s v="S"/>
    <n v="1533010002"/>
    <m/>
    <m/>
    <m/>
    <m/>
    <m/>
    <m/>
    <m/>
    <m/>
    <n v="-2472464"/>
    <s v="COP"/>
    <m/>
    <m/>
    <m/>
    <m/>
    <m/>
    <m/>
    <m/>
    <s v="O003001452"/>
    <m/>
    <m/>
    <n v="20240930"/>
    <m/>
    <m/>
    <n v="20240930"/>
    <n v="8300035647"/>
    <m/>
    <m/>
    <s v="PAGO INTERBANC EPS FAMISANAR S"/>
    <m/>
    <x v="3"/>
    <n v="2472464"/>
    <n v="9"/>
  </r>
  <r>
    <x v="9"/>
    <d v="2024-09-30T00:00:00"/>
    <s v="PAGO INCAP"/>
    <s v="O003"/>
    <m/>
    <n v="63"/>
    <s v="S"/>
    <n v="1533010002"/>
    <m/>
    <m/>
    <m/>
    <m/>
    <m/>
    <m/>
    <m/>
    <m/>
    <n v="-1340320"/>
    <s v="COP"/>
    <m/>
    <m/>
    <m/>
    <m/>
    <m/>
    <m/>
    <m/>
    <s v="O003001452"/>
    <m/>
    <m/>
    <n v="20240930"/>
    <m/>
    <m/>
    <n v="20240930"/>
    <n v="8909049961"/>
    <m/>
    <m/>
    <s v="PAGO TERCERO RECIBIDO DESDE ACH"/>
    <m/>
    <x v="0"/>
    <n v="1340320"/>
    <n v="9"/>
  </r>
  <r>
    <x v="9"/>
    <d v="2024-09-30T00:00:00"/>
    <s v="PAGO INCAP"/>
    <s v="O003"/>
    <m/>
    <n v="65"/>
    <s v="S"/>
    <n v="1533010002"/>
    <m/>
    <m/>
    <m/>
    <m/>
    <m/>
    <m/>
    <m/>
    <m/>
    <n v="-43334"/>
    <s v="COP"/>
    <m/>
    <m/>
    <m/>
    <m/>
    <m/>
    <m/>
    <m/>
    <s v="O003001452"/>
    <m/>
    <m/>
    <n v="20240930"/>
    <m/>
    <m/>
    <n v="20240930"/>
    <n v="8060083947"/>
    <m/>
    <m/>
    <s v="PAGO DE PROV ASOCIACION MUTU"/>
    <m/>
    <x v="0"/>
    <n v="43334"/>
    <n v="9"/>
  </r>
  <r>
    <x v="9"/>
    <d v="2024-09-30T00:00:00"/>
    <s v="PAGO INCAP"/>
    <s v="O003"/>
    <m/>
    <n v="215"/>
    <s v="S"/>
    <n v="1533010002"/>
    <m/>
    <m/>
    <m/>
    <m/>
    <m/>
    <m/>
    <m/>
    <m/>
    <n v="43334"/>
    <s v="COP"/>
    <m/>
    <m/>
    <m/>
    <m/>
    <m/>
    <m/>
    <m/>
    <s v="O003001452"/>
    <m/>
    <m/>
    <n v="20240930"/>
    <m/>
    <m/>
    <n v="20240930"/>
    <n v="8060083947"/>
    <m/>
    <m/>
    <s v="PAGO DE PROV ASOCIACION MUTU"/>
    <m/>
    <x v="0"/>
    <n v="43334"/>
    <n v="9"/>
  </r>
  <r>
    <x v="9"/>
    <d v="2024-09-30T00:00:00"/>
    <s v="PAGO INCAP"/>
    <s v="O003"/>
    <m/>
    <n v="217"/>
    <s v="S"/>
    <n v="1533010002"/>
    <m/>
    <m/>
    <m/>
    <m/>
    <m/>
    <m/>
    <m/>
    <m/>
    <n v="-43334"/>
    <s v="COP"/>
    <m/>
    <m/>
    <m/>
    <m/>
    <m/>
    <m/>
    <m/>
    <s v="O003001452"/>
    <m/>
    <m/>
    <n v="20240930"/>
    <m/>
    <m/>
    <n v="20240930"/>
    <n v="8060083947"/>
    <m/>
    <m/>
    <s v="PAGO DE PROV ASOCIACION MUTU"/>
    <m/>
    <x v="0"/>
    <n v="43334"/>
    <n v="9"/>
  </r>
  <r>
    <x v="10"/>
    <d v="2024-10-31T00:00:00"/>
    <s v="PAGO INCAP"/>
    <s v="O003"/>
    <m/>
    <n v="54"/>
    <s v="S"/>
    <n v="1533010002"/>
    <m/>
    <m/>
    <m/>
    <m/>
    <m/>
    <m/>
    <m/>
    <m/>
    <n v="-31103667"/>
    <s v="COP"/>
    <m/>
    <m/>
    <m/>
    <m/>
    <m/>
    <m/>
    <m/>
    <s v="O003001452"/>
    <m/>
    <m/>
    <n v="20241031"/>
    <m/>
    <m/>
    <n v="20241031"/>
    <n v="8000887022"/>
    <m/>
    <m/>
    <s v="PAGO DE PROV EPS SURAMERICAN"/>
    <m/>
    <x v="6"/>
    <n v="31103667"/>
    <n v="10"/>
  </r>
  <r>
    <x v="10"/>
    <d v="2024-10-31T00:00:00"/>
    <s v="PAGO INCAP"/>
    <s v="O003"/>
    <m/>
    <n v="55"/>
    <s v="S"/>
    <n v="1533010002"/>
    <m/>
    <m/>
    <m/>
    <m/>
    <m/>
    <m/>
    <m/>
    <m/>
    <n v="-657062"/>
    <s v="COP"/>
    <m/>
    <m/>
    <m/>
    <m/>
    <m/>
    <m/>
    <m/>
    <s v="O003001452"/>
    <m/>
    <m/>
    <n v="20241031"/>
    <m/>
    <m/>
    <n v="20241031"/>
    <n v="8001309074"/>
    <m/>
    <m/>
    <s v="PAGO DE PROV SALUD TOTAL EPS"/>
    <m/>
    <x v="0"/>
    <n v="657062"/>
    <n v="10"/>
  </r>
  <r>
    <x v="10"/>
    <d v="2024-10-31T00:00:00"/>
    <s v="PAGO INCAP"/>
    <s v="O003"/>
    <m/>
    <n v="56"/>
    <s v="S"/>
    <n v="1533010002"/>
    <m/>
    <m/>
    <m/>
    <m/>
    <m/>
    <m/>
    <m/>
    <m/>
    <n v="-1776671"/>
    <s v="COP"/>
    <m/>
    <m/>
    <m/>
    <m/>
    <m/>
    <m/>
    <m/>
    <s v="O003001452"/>
    <m/>
    <m/>
    <n v="20241031"/>
    <m/>
    <m/>
    <n v="20241031"/>
    <n v="8002492410"/>
    <m/>
    <m/>
    <s v="PAGO INTERBANC COOSALUD-ENTIDA"/>
    <m/>
    <x v="0"/>
    <n v="1776671"/>
    <n v="10"/>
  </r>
  <r>
    <x v="10"/>
    <d v="2024-10-31T00:00:00"/>
    <s v="PAGO INCAP"/>
    <s v="O003"/>
    <m/>
    <n v="57"/>
    <s v="S"/>
    <n v="1533010002"/>
    <m/>
    <m/>
    <m/>
    <m/>
    <m/>
    <m/>
    <m/>
    <m/>
    <n v="-34883812"/>
    <s v="COP"/>
    <m/>
    <m/>
    <m/>
    <m/>
    <m/>
    <m/>
    <m/>
    <s v="O003001452"/>
    <m/>
    <m/>
    <n v="20241031"/>
    <m/>
    <m/>
    <n v="20241031"/>
    <n v="8002514406"/>
    <m/>
    <m/>
    <s v="PAGO INTERBANC EPS SANITAS S A"/>
    <m/>
    <x v="1"/>
    <n v="34883812"/>
    <n v="10"/>
  </r>
  <r>
    <x v="10"/>
    <d v="2024-10-31T00:00:00"/>
    <s v="PAGO INCAP"/>
    <s v="O003"/>
    <m/>
    <n v="58"/>
    <s v="S"/>
    <n v="1533010002"/>
    <m/>
    <m/>
    <m/>
    <m/>
    <m/>
    <m/>
    <m/>
    <m/>
    <n v="-426669"/>
    <s v="COP"/>
    <m/>
    <m/>
    <m/>
    <m/>
    <m/>
    <m/>
    <m/>
    <s v="O003001452"/>
    <m/>
    <m/>
    <n v="20241031"/>
    <m/>
    <m/>
    <n v="20241031"/>
    <n v="8060083947"/>
    <m/>
    <m/>
    <s v="PAGO INTERBANC MUTUAL SER EPS"/>
    <m/>
    <x v="0"/>
    <n v="426669"/>
    <n v="10"/>
  </r>
  <r>
    <x v="10"/>
    <d v="2024-10-31T00:00:00"/>
    <s v="PAGO INCAP"/>
    <s v="O003"/>
    <m/>
    <n v="59"/>
    <s v="S"/>
    <n v="1533010002"/>
    <m/>
    <m/>
    <m/>
    <m/>
    <m/>
    <m/>
    <m/>
    <m/>
    <n v="-130002"/>
    <s v="COP"/>
    <m/>
    <m/>
    <m/>
    <m/>
    <m/>
    <m/>
    <m/>
    <s v="O003001452"/>
    <m/>
    <m/>
    <n v="20241031"/>
    <m/>
    <m/>
    <n v="20241031"/>
    <n v="8140003371"/>
    <m/>
    <m/>
    <s v="PAGO INTERBANC EMSSANAR EMPRES"/>
    <m/>
    <x v="2"/>
    <n v="130002"/>
    <n v="10"/>
  </r>
  <r>
    <x v="10"/>
    <d v="2024-10-31T00:00:00"/>
    <s v="PAGO INCAP"/>
    <s v="O003"/>
    <m/>
    <n v="60"/>
    <s v="S"/>
    <n v="1533010002"/>
    <m/>
    <m/>
    <m/>
    <m/>
    <m/>
    <m/>
    <m/>
    <m/>
    <n v="-38837"/>
    <s v="COP"/>
    <m/>
    <m/>
    <m/>
    <m/>
    <m/>
    <m/>
    <m/>
    <s v="O003001452"/>
    <m/>
    <m/>
    <n v="20241031"/>
    <m/>
    <m/>
    <n v="20241031"/>
    <n v="8300035647"/>
    <m/>
    <m/>
    <s v="PAGO INTERBANC EPS FAMISANAR S"/>
    <m/>
    <x v="3"/>
    <n v="38837"/>
    <n v="10"/>
  </r>
  <r>
    <x v="10"/>
    <d v="2024-10-31T00:00:00"/>
    <s v="PAGO INCAP"/>
    <s v="O003"/>
    <m/>
    <n v="61"/>
    <s v="S"/>
    <n v="1533010002"/>
    <m/>
    <m/>
    <m/>
    <m/>
    <m/>
    <m/>
    <m/>
    <m/>
    <n v="-8563922"/>
    <s v="COP"/>
    <m/>
    <m/>
    <m/>
    <m/>
    <m/>
    <m/>
    <m/>
    <s v="O003001452"/>
    <m/>
    <m/>
    <n v="20241031"/>
    <m/>
    <m/>
    <n v="20241031"/>
    <n v="8301138310"/>
    <m/>
    <m/>
    <s v="PAGO DE PROV ALIANSALUD EPS"/>
    <m/>
    <x v="0"/>
    <n v="8563922"/>
    <n v="10"/>
  </r>
  <r>
    <x v="10"/>
    <d v="2024-10-31T00:00:00"/>
    <s v="PAGO INCAP"/>
    <s v="O003"/>
    <m/>
    <n v="62"/>
    <s v="S"/>
    <n v="1533010002"/>
    <m/>
    <m/>
    <m/>
    <m/>
    <m/>
    <m/>
    <m/>
    <m/>
    <n v="-3097066"/>
    <s v="COP"/>
    <m/>
    <m/>
    <m/>
    <m/>
    <m/>
    <m/>
    <m/>
    <s v="O003001452"/>
    <m/>
    <m/>
    <n v="20241031"/>
    <m/>
    <m/>
    <n v="20241031"/>
    <n v="8600021839"/>
    <m/>
    <m/>
    <s v="PAGO INTERBANC AXA COLPATRIA S"/>
    <m/>
    <x v="0"/>
    <n v="3097066"/>
    <n v="10"/>
  </r>
  <r>
    <x v="10"/>
    <d v="2024-10-31T00:00:00"/>
    <s v="PAGO INCAP"/>
    <s v="O003"/>
    <m/>
    <n v="63"/>
    <s v="S"/>
    <n v="1533010002"/>
    <m/>
    <m/>
    <m/>
    <m/>
    <m/>
    <m/>
    <m/>
    <m/>
    <n v="-14499561"/>
    <s v="COP"/>
    <m/>
    <m/>
    <m/>
    <m/>
    <m/>
    <m/>
    <m/>
    <s v="O003001452"/>
    <m/>
    <m/>
    <n v="20241031"/>
    <m/>
    <m/>
    <n v="20241031"/>
    <n v="8600669427"/>
    <m/>
    <m/>
    <s v="PAGO INTERBANC CAJA DE COMPENS"/>
    <m/>
    <x v="4"/>
    <n v="14499561"/>
    <n v="10"/>
  </r>
  <r>
    <x v="10"/>
    <d v="2024-10-31T00:00:00"/>
    <s v="PAGO INCAP"/>
    <s v="O003"/>
    <m/>
    <n v="64"/>
    <s v="S"/>
    <n v="1533010002"/>
    <m/>
    <m/>
    <m/>
    <m/>
    <m/>
    <m/>
    <m/>
    <m/>
    <n v="-3565005"/>
    <s v="COP"/>
    <m/>
    <m/>
    <m/>
    <m/>
    <m/>
    <m/>
    <m/>
    <s v="O003001452"/>
    <m/>
    <m/>
    <n v="20241031"/>
    <m/>
    <m/>
    <n v="20241031"/>
    <n v="8903030935"/>
    <m/>
    <m/>
    <s v="PAGO INTERBANC COMFENALCO"/>
    <m/>
    <x v="0"/>
    <n v="3565005"/>
    <n v="10"/>
  </r>
  <r>
    <x v="10"/>
    <d v="2024-10-31T00:00:00"/>
    <s v="PAGO INCAP"/>
    <s v="O003"/>
    <m/>
    <n v="65"/>
    <s v="S"/>
    <n v="1533010002"/>
    <m/>
    <m/>
    <m/>
    <m/>
    <m/>
    <m/>
    <m/>
    <m/>
    <n v="-44349074"/>
    <s v="COP"/>
    <m/>
    <m/>
    <m/>
    <m/>
    <m/>
    <m/>
    <m/>
    <s v="O003001452"/>
    <m/>
    <m/>
    <n v="20241031"/>
    <m/>
    <m/>
    <n v="20241031"/>
    <n v="9001562642"/>
    <m/>
    <m/>
    <s v="PAGO DE PROV NUEVA EPS S A"/>
    <m/>
    <x v="5"/>
    <n v="44349074"/>
    <n v="10"/>
  </r>
  <r>
    <x v="10"/>
    <d v="2024-10-31T00:00:00"/>
    <s v="PAGO INCAP"/>
    <s v="O003"/>
    <m/>
    <n v="66"/>
    <s v="S"/>
    <n v="1533010002"/>
    <m/>
    <m/>
    <m/>
    <m/>
    <m/>
    <m/>
    <m/>
    <m/>
    <n v="-390000"/>
    <s v="COP"/>
    <m/>
    <m/>
    <m/>
    <m/>
    <m/>
    <m/>
    <m/>
    <s v="O003001452"/>
    <m/>
    <m/>
    <n v="20241031"/>
    <m/>
    <m/>
    <n v="20241031"/>
    <n v="9002983729"/>
    <m/>
    <m/>
    <s v="PAGO DE PROV CAPITAL SALUD E"/>
    <m/>
    <x v="0"/>
    <n v="390000"/>
    <n v="10"/>
  </r>
  <r>
    <x v="10"/>
    <d v="2024-10-31T00:00:00"/>
    <s v="PAGO INCAP"/>
    <s v="O003"/>
    <m/>
    <n v="67"/>
    <s v="S"/>
    <n v="1533010002"/>
    <m/>
    <m/>
    <m/>
    <m/>
    <m/>
    <m/>
    <m/>
    <m/>
    <n v="-21343216"/>
    <s v="COP"/>
    <m/>
    <m/>
    <m/>
    <m/>
    <m/>
    <m/>
    <m/>
    <s v="O003001452"/>
    <m/>
    <m/>
    <n v="20241031"/>
    <m/>
    <m/>
    <n v="20241031"/>
    <n v="9010974735"/>
    <m/>
    <m/>
    <s v="PAGO INTERBANC MEDIMAS EPS S A"/>
    <m/>
    <x v="0"/>
    <n v="21343216"/>
    <n v="10"/>
  </r>
  <r>
    <x v="10"/>
    <d v="2024-10-31T00:00:00"/>
    <s v="PAGO INCAP"/>
    <s v="O003"/>
    <m/>
    <n v="86"/>
    <s v="S"/>
    <n v="1533010002"/>
    <m/>
    <m/>
    <m/>
    <m/>
    <m/>
    <m/>
    <m/>
    <m/>
    <n v="1022800"/>
    <s v="COP"/>
    <m/>
    <m/>
    <m/>
    <m/>
    <m/>
    <m/>
    <m/>
    <s v="O003001452"/>
    <m/>
    <m/>
    <n v="20241031"/>
    <m/>
    <m/>
    <n v="20241031"/>
    <n v="8902015787"/>
    <m/>
    <m/>
    <s v="PAGO INTERBANC COMFENALCO"/>
    <m/>
    <x v="0"/>
    <n v="1022800"/>
    <n v="10"/>
  </r>
  <r>
    <x v="10"/>
    <d v="2024-10-31T00:00:00"/>
    <s v="PAGO INCAP"/>
    <s v="O003"/>
    <m/>
    <n v="87"/>
    <s v="S"/>
    <n v="1533010002"/>
    <m/>
    <m/>
    <m/>
    <m/>
    <m/>
    <m/>
    <m/>
    <m/>
    <n v="757800"/>
    <s v="COP"/>
    <m/>
    <m/>
    <m/>
    <m/>
    <m/>
    <m/>
    <m/>
    <s v="O003001452"/>
    <m/>
    <m/>
    <n v="20241031"/>
    <m/>
    <m/>
    <n v="20241031"/>
    <n v="8902015787"/>
    <m/>
    <m/>
    <s v="PAGO INTERBANC COMFENALCO"/>
    <m/>
    <x v="0"/>
    <n v="757800"/>
    <n v="10"/>
  </r>
  <r>
    <x v="10"/>
    <d v="2024-10-31T00:00:00"/>
    <s v="PAGO INCAP"/>
    <s v="O003"/>
    <m/>
    <n v="88"/>
    <s v="S"/>
    <n v="1533010002"/>
    <m/>
    <m/>
    <m/>
    <m/>
    <m/>
    <m/>
    <m/>
    <m/>
    <n v="2552892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2552892"/>
    <n v="10"/>
  </r>
  <r>
    <x v="10"/>
    <d v="2024-10-31T00:00:00"/>
    <s v="PAGO INCAP"/>
    <s v="O003"/>
    <m/>
    <n v="89"/>
    <s v="S"/>
    <n v="1533010002"/>
    <m/>
    <m/>
    <m/>
    <m/>
    <m/>
    <m/>
    <m/>
    <m/>
    <n v="1155958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1155958"/>
    <n v="10"/>
  </r>
  <r>
    <x v="10"/>
    <d v="2024-10-31T00:00:00"/>
    <s v="PAGO INCAP"/>
    <s v="O003"/>
    <m/>
    <n v="90"/>
    <s v="S"/>
    <n v="1533010002"/>
    <m/>
    <m/>
    <m/>
    <m/>
    <m/>
    <m/>
    <m/>
    <m/>
    <n v="220615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220615"/>
    <n v="10"/>
  </r>
  <r>
    <x v="10"/>
    <d v="2024-10-31T00:00:00"/>
    <s v="PAGO INCAP"/>
    <s v="O003"/>
    <m/>
    <n v="91"/>
    <s v="S"/>
    <n v="1533010002"/>
    <m/>
    <m/>
    <m/>
    <m/>
    <m/>
    <m/>
    <m/>
    <m/>
    <n v="580922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580922"/>
    <n v="10"/>
  </r>
  <r>
    <x v="10"/>
    <d v="2024-10-31T00:00:00"/>
    <s v="PAGO INCAP"/>
    <s v="O003"/>
    <m/>
    <n v="92"/>
    <s v="S"/>
    <n v="1533010002"/>
    <m/>
    <m/>
    <m/>
    <m/>
    <m/>
    <m/>
    <m/>
    <m/>
    <n v="1784405"/>
    <s v="COP"/>
    <m/>
    <m/>
    <m/>
    <m/>
    <m/>
    <m/>
    <m/>
    <s v="O003001452"/>
    <m/>
    <m/>
    <n v="20241031"/>
    <m/>
    <m/>
    <n v="20241031"/>
    <n v="8902015787"/>
    <m/>
    <m/>
    <s v="PAGO INTERBANC COMFENALCO"/>
    <m/>
    <x v="0"/>
    <n v="1784405"/>
    <n v="10"/>
  </r>
  <r>
    <x v="10"/>
    <d v="2024-10-31T00:00:00"/>
    <s v="PAGO INCAP"/>
    <s v="O003"/>
    <m/>
    <n v="93"/>
    <s v="S"/>
    <n v="1533010002"/>
    <m/>
    <m/>
    <m/>
    <m/>
    <m/>
    <m/>
    <m/>
    <m/>
    <n v="3213002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3213002"/>
    <n v="10"/>
  </r>
  <r>
    <x v="11"/>
    <d v="2024-11-30T00:00:00"/>
    <s v="PAGO INCAP"/>
    <s v="O003"/>
    <m/>
    <n v="30"/>
    <s v="S"/>
    <n v="1533010002"/>
    <m/>
    <m/>
    <m/>
    <m/>
    <m/>
    <m/>
    <m/>
    <m/>
    <n v="-10672000"/>
    <s v="COP"/>
    <m/>
    <m/>
    <m/>
    <m/>
    <m/>
    <m/>
    <m/>
    <s v="O003001452"/>
    <m/>
    <m/>
    <n v="20241130"/>
    <m/>
    <m/>
    <n v="20241130"/>
    <n v="1019098648"/>
    <m/>
    <m/>
    <s v="Devolucion Empleado NOMINA"/>
    <m/>
    <x v="0"/>
    <n v="10672000"/>
    <n v="11"/>
  </r>
  <r>
    <x v="11"/>
    <d v="2024-11-30T00:00:00"/>
    <s v="PAGO INCAP"/>
    <s v="O003"/>
    <m/>
    <n v="84"/>
    <s v="S"/>
    <n v="1533010002"/>
    <m/>
    <m/>
    <m/>
    <m/>
    <m/>
    <m/>
    <m/>
    <m/>
    <n v="-10562770"/>
    <s v="COP"/>
    <m/>
    <m/>
    <m/>
    <m/>
    <m/>
    <m/>
    <m/>
    <s v="O003001452"/>
    <m/>
    <m/>
    <n v="20241130"/>
    <m/>
    <m/>
    <n v="20241130"/>
    <n v="8000887022"/>
    <m/>
    <m/>
    <s v="PAGO DE PROV EPS SURAMERICAN"/>
    <m/>
    <x v="6"/>
    <n v="10562770"/>
    <n v="11"/>
  </r>
  <r>
    <x v="11"/>
    <d v="2024-11-30T00:00:00"/>
    <s v="PAGO INCAP"/>
    <s v="O003"/>
    <m/>
    <n v="85"/>
    <s v="S"/>
    <n v="1533010002"/>
    <m/>
    <m/>
    <m/>
    <m/>
    <m/>
    <m/>
    <m/>
    <m/>
    <n v="-29356654"/>
    <s v="COP"/>
    <m/>
    <m/>
    <m/>
    <m/>
    <m/>
    <m/>
    <m/>
    <s v="O003001452"/>
    <m/>
    <m/>
    <n v="20241130"/>
    <m/>
    <m/>
    <n v="20241130"/>
    <n v="8001309074"/>
    <m/>
    <m/>
    <s v="PAGO INTERBANC SALUD-TOTAL-EPS"/>
    <m/>
    <x v="0"/>
    <n v="29356654"/>
    <n v="11"/>
  </r>
  <r>
    <x v="11"/>
    <d v="2024-11-30T00:00:00"/>
    <s v="PAGO INCAP"/>
    <s v="O003"/>
    <m/>
    <n v="86"/>
    <s v="S"/>
    <n v="1533010002"/>
    <m/>
    <m/>
    <m/>
    <m/>
    <m/>
    <m/>
    <m/>
    <m/>
    <n v="-43614915"/>
    <s v="COP"/>
    <m/>
    <m/>
    <m/>
    <m/>
    <m/>
    <m/>
    <m/>
    <s v="O003001452"/>
    <m/>
    <m/>
    <n v="20241130"/>
    <m/>
    <m/>
    <n v="20241130"/>
    <n v="8002514406"/>
    <m/>
    <m/>
    <s v="PAGO INTERBANC EPS SANITAS S A"/>
    <m/>
    <x v="1"/>
    <n v="43614915"/>
    <n v="11"/>
  </r>
  <r>
    <x v="11"/>
    <d v="2024-11-30T00:00:00"/>
    <s v="PAGO INCAP"/>
    <s v="O003"/>
    <m/>
    <n v="87"/>
    <s v="S"/>
    <n v="1533010002"/>
    <m/>
    <m/>
    <m/>
    <m/>
    <m/>
    <m/>
    <m/>
    <m/>
    <n v="-129999"/>
    <s v="COP"/>
    <m/>
    <m/>
    <m/>
    <m/>
    <m/>
    <m/>
    <m/>
    <s v="O003001452"/>
    <m/>
    <m/>
    <n v="20241130"/>
    <m/>
    <m/>
    <n v="20241130"/>
    <n v="8050011572"/>
    <m/>
    <m/>
    <s v="PAGO INTERBANC EPS  SOS S A"/>
    <m/>
    <x v="0"/>
    <n v="129999"/>
    <n v="11"/>
  </r>
  <r>
    <x v="11"/>
    <d v="2024-11-30T00:00:00"/>
    <s v="PAGO INCAP"/>
    <s v="O003"/>
    <m/>
    <n v="88"/>
    <s v="S"/>
    <n v="1533010002"/>
    <m/>
    <m/>
    <m/>
    <m/>
    <m/>
    <m/>
    <m/>
    <m/>
    <n v="-650000"/>
    <s v="COP"/>
    <m/>
    <m/>
    <m/>
    <m/>
    <m/>
    <m/>
    <m/>
    <s v="O003001452"/>
    <m/>
    <m/>
    <n v="20241130"/>
    <m/>
    <m/>
    <n v="20241130"/>
    <n v="8060083947"/>
    <m/>
    <m/>
    <s v="PAGO INTERBANC MUTUAL SER EPS"/>
    <m/>
    <x v="0"/>
    <n v="650000"/>
    <n v="11"/>
  </r>
  <r>
    <x v="11"/>
    <d v="2024-11-30T00:00:00"/>
    <s v="PAGO INCAP"/>
    <s v="O003"/>
    <m/>
    <n v="89"/>
    <s v="S"/>
    <n v="1533010002"/>
    <m/>
    <m/>
    <m/>
    <m/>
    <m/>
    <m/>
    <m/>
    <m/>
    <n v="-16660742"/>
    <s v="COP"/>
    <m/>
    <m/>
    <m/>
    <m/>
    <m/>
    <m/>
    <m/>
    <s v="O003001452"/>
    <m/>
    <m/>
    <n v="20241130"/>
    <m/>
    <m/>
    <n v="20241130"/>
    <n v="8300035647"/>
    <m/>
    <m/>
    <s v="PAGO INTERBANC EPS FAMISANAR S"/>
    <m/>
    <x v="3"/>
    <n v="16660742"/>
    <n v="11"/>
  </r>
  <r>
    <x v="11"/>
    <d v="2024-11-30T00:00:00"/>
    <s v="PAGO INCAP"/>
    <s v="O003"/>
    <m/>
    <n v="90"/>
    <s v="S"/>
    <n v="1533010002"/>
    <m/>
    <m/>
    <m/>
    <m/>
    <m/>
    <m/>
    <m/>
    <m/>
    <n v="-10624295"/>
    <s v="COP"/>
    <m/>
    <m/>
    <m/>
    <m/>
    <m/>
    <m/>
    <m/>
    <s v="O003001452"/>
    <m/>
    <m/>
    <n v="20241130"/>
    <m/>
    <m/>
    <n v="20241130"/>
    <n v="8301138310"/>
    <m/>
    <m/>
    <s v="PAGO DE PROV ALIANSALUD EPS"/>
    <m/>
    <x v="0"/>
    <n v="10624295"/>
    <n v="11"/>
  </r>
  <r>
    <x v="11"/>
    <d v="2024-11-30T00:00:00"/>
    <s v="PAGO INCAP"/>
    <s v="O003"/>
    <m/>
    <n v="91"/>
    <s v="S"/>
    <n v="1533010002"/>
    <m/>
    <m/>
    <m/>
    <m/>
    <m/>
    <m/>
    <m/>
    <m/>
    <n v="-30462938"/>
    <s v="COP"/>
    <m/>
    <m/>
    <m/>
    <m/>
    <m/>
    <m/>
    <m/>
    <s v="O003001452"/>
    <m/>
    <m/>
    <n v="20241130"/>
    <m/>
    <m/>
    <n v="20241130"/>
    <n v="8600021839"/>
    <m/>
    <m/>
    <s v="PAGO INTERBANC AXA COLPATRIA S"/>
    <m/>
    <x v="0"/>
    <n v="30462938"/>
    <n v="11"/>
  </r>
  <r>
    <x v="11"/>
    <d v="2024-11-30T00:00:00"/>
    <s v="PAGO INCAP"/>
    <s v="O003"/>
    <m/>
    <n v="92"/>
    <s v="S"/>
    <n v="1533010002"/>
    <m/>
    <m/>
    <m/>
    <m/>
    <m/>
    <m/>
    <m/>
    <m/>
    <n v="-31128212"/>
    <s v="COP"/>
    <m/>
    <m/>
    <m/>
    <m/>
    <m/>
    <m/>
    <m/>
    <s v="O003001452"/>
    <m/>
    <m/>
    <n v="20241130"/>
    <m/>
    <m/>
    <n v="20241130"/>
    <n v="8600669427"/>
    <m/>
    <m/>
    <s v="PAGO INTERBANC CAJA DE COMPENS"/>
    <m/>
    <x v="4"/>
    <n v="31128212"/>
    <n v="11"/>
  </r>
  <r>
    <x v="11"/>
    <d v="2024-11-30T00:00:00"/>
    <s v="PAGO INCAP"/>
    <s v="O003"/>
    <m/>
    <n v="93"/>
    <s v="S"/>
    <n v="1533010002"/>
    <m/>
    <m/>
    <m/>
    <m/>
    <m/>
    <m/>
    <m/>
    <m/>
    <n v="-11832355"/>
    <s v="COP"/>
    <m/>
    <m/>
    <m/>
    <m/>
    <m/>
    <m/>
    <m/>
    <s v="O003001452"/>
    <m/>
    <m/>
    <n v="20241130"/>
    <m/>
    <m/>
    <n v="20241130"/>
    <n v="9001562642"/>
    <m/>
    <m/>
    <s v="PAGO DE PROV NUEVA EPS S A"/>
    <m/>
    <x v="5"/>
    <n v="11832355"/>
    <n v="11"/>
  </r>
  <r>
    <x v="11"/>
    <d v="2024-11-30T00:00:00"/>
    <s v="PAGO INCAP"/>
    <s v="O003"/>
    <m/>
    <n v="94"/>
    <s v="S"/>
    <n v="1533010002"/>
    <m/>
    <m/>
    <m/>
    <m/>
    <m/>
    <m/>
    <m/>
    <m/>
    <n v="-43334"/>
    <s v="COP"/>
    <m/>
    <m/>
    <m/>
    <m/>
    <m/>
    <m/>
    <m/>
    <s v="O003001452"/>
    <m/>
    <m/>
    <n v="20241130"/>
    <m/>
    <m/>
    <n v="20241130"/>
    <n v="9006043500"/>
    <m/>
    <m/>
    <s v="PAGO DE PROV AMA EPS S.A.S"/>
    <m/>
    <x v="0"/>
    <n v="43334"/>
    <n v="11"/>
  </r>
  <r>
    <x v="11"/>
    <d v="2024-11-30T00:00:00"/>
    <s v="PAGO INCAP"/>
    <s v="O003"/>
    <m/>
    <n v="95"/>
    <s v="S"/>
    <n v="1533010002"/>
    <m/>
    <m/>
    <m/>
    <m/>
    <m/>
    <m/>
    <m/>
    <m/>
    <n v="-4562667"/>
    <s v="COP"/>
    <m/>
    <m/>
    <m/>
    <m/>
    <m/>
    <m/>
    <m/>
    <s v="O003001452"/>
    <m/>
    <m/>
    <n v="20241130"/>
    <m/>
    <m/>
    <n v="20241130"/>
    <n v="9010379161"/>
    <m/>
    <m/>
    <s v="PAGO DE PROV ADRES"/>
    <m/>
    <x v="0"/>
    <n v="4562667"/>
    <n v="11"/>
  </r>
  <r>
    <x v="11"/>
    <d v="2024-11-30T00:00:00"/>
    <s v="PAGO INCAP"/>
    <s v="O003"/>
    <m/>
    <n v="97"/>
    <s v="S"/>
    <n v="1533010002"/>
    <m/>
    <m/>
    <m/>
    <m/>
    <m/>
    <m/>
    <m/>
    <m/>
    <n v="-1861507"/>
    <s v="COP"/>
    <m/>
    <m/>
    <m/>
    <m/>
    <m/>
    <m/>
    <m/>
    <s v="O003001452"/>
    <m/>
    <m/>
    <n v="20241130"/>
    <m/>
    <m/>
    <n v="20241130"/>
    <n v="9001562642"/>
    <m/>
    <m/>
    <s v="NUEVA EMPRESA PROMOTORA DE SALUD S.A."/>
    <m/>
    <x v="5"/>
    <n v="1861507"/>
    <n v="11"/>
  </r>
  <r>
    <x v="11"/>
    <d v="2024-11-30T00:00:00"/>
    <s v="PAGO INCAP"/>
    <s v="O003"/>
    <m/>
    <n v="99"/>
    <s v="S"/>
    <n v="1533010002"/>
    <m/>
    <m/>
    <m/>
    <m/>
    <m/>
    <m/>
    <m/>
    <m/>
    <n v="-587052"/>
    <s v="COP"/>
    <m/>
    <m/>
    <m/>
    <m/>
    <m/>
    <m/>
    <m/>
    <s v="O003001452"/>
    <m/>
    <m/>
    <n v="20241130"/>
    <m/>
    <m/>
    <n v="20241130"/>
    <n v="8909049961"/>
    <m/>
    <m/>
    <s v="PAGO TERCERO RECIBIDO DESDE ACH"/>
    <m/>
    <x v="0"/>
    <n v="587052"/>
    <n v="11"/>
  </r>
  <r>
    <x v="11"/>
    <d v="2024-11-30T00:00:00"/>
    <s v="Reclasf Gasto Inc "/>
    <s v="O003"/>
    <m/>
    <n v="129"/>
    <s v="S"/>
    <n v="1533010002"/>
    <m/>
    <m/>
    <m/>
    <m/>
    <m/>
    <m/>
    <m/>
    <m/>
    <n v="-49896189"/>
    <s v="COP"/>
    <m/>
    <m/>
    <m/>
    <m/>
    <m/>
    <m/>
    <m/>
    <s v="O003001452"/>
    <m/>
    <m/>
    <n v="20241130"/>
    <m/>
    <m/>
    <n v="20241130"/>
    <n v="8002421062"/>
    <m/>
    <m/>
    <s v="RECLASIFICACION INC NO COBRABLES 2024"/>
    <m/>
    <x v="0"/>
    <n v="49896189"/>
    <n v="11"/>
  </r>
  <r>
    <x v="12"/>
    <d v="2024-12-31T00:00:00"/>
    <s v="PAGO INCAP"/>
    <s v="O003"/>
    <m/>
    <n v="49"/>
    <s v="S"/>
    <n v="1533010002"/>
    <m/>
    <m/>
    <m/>
    <m/>
    <m/>
    <m/>
    <m/>
    <m/>
    <n v="-66542579"/>
    <s v="COP"/>
    <m/>
    <m/>
    <m/>
    <m/>
    <m/>
    <m/>
    <m/>
    <s v="O003001452"/>
    <m/>
    <m/>
    <n v="20241231"/>
    <m/>
    <m/>
    <n v="20241231"/>
    <n v="8000887022"/>
    <m/>
    <m/>
    <s v="PAGO DE PROV EPS SURAMERICAN"/>
    <m/>
    <x v="6"/>
    <n v="66542579"/>
    <n v="12"/>
  </r>
  <r>
    <x v="12"/>
    <d v="2024-12-31T00:00:00"/>
    <s v="PAGO INCAP"/>
    <s v="O003"/>
    <m/>
    <n v="50"/>
    <s v="S"/>
    <n v="1533010002"/>
    <m/>
    <m/>
    <m/>
    <m/>
    <m/>
    <m/>
    <m/>
    <m/>
    <n v="-6465658"/>
    <s v="COP"/>
    <m/>
    <m/>
    <m/>
    <m/>
    <m/>
    <m/>
    <m/>
    <s v="O003001452"/>
    <m/>
    <m/>
    <n v="20241231"/>
    <m/>
    <m/>
    <n v="20241231"/>
    <n v="8001309074"/>
    <m/>
    <m/>
    <s v="PAGO INTERBANC SALUD-TOTAL-EPS"/>
    <m/>
    <x v="0"/>
    <n v="6465658"/>
    <n v="12"/>
  </r>
  <r>
    <x v="12"/>
    <d v="2024-12-31T00:00:00"/>
    <s v="PAGO INCAP"/>
    <s v="O003"/>
    <m/>
    <n v="51"/>
    <s v="S"/>
    <n v="1533010002"/>
    <m/>
    <m/>
    <m/>
    <m/>
    <m/>
    <m/>
    <m/>
    <m/>
    <n v="-41028908"/>
    <s v="COP"/>
    <m/>
    <m/>
    <m/>
    <m/>
    <m/>
    <m/>
    <m/>
    <s v="O003001452"/>
    <m/>
    <m/>
    <n v="20241231"/>
    <m/>
    <m/>
    <n v="20241231"/>
    <n v="8002514406"/>
    <m/>
    <m/>
    <s v="PAGO INTERBANC EPS SANITAS S A"/>
    <m/>
    <x v="1"/>
    <n v="41028908"/>
    <n v="12"/>
  </r>
  <r>
    <x v="12"/>
    <d v="2024-12-31T00:00:00"/>
    <s v="PAGO INCAP"/>
    <s v="O003"/>
    <m/>
    <n v="52"/>
    <s v="S"/>
    <n v="1533010002"/>
    <m/>
    <m/>
    <m/>
    <m/>
    <m/>
    <m/>
    <m/>
    <m/>
    <n v="-346672"/>
    <s v="COP"/>
    <m/>
    <m/>
    <m/>
    <m/>
    <m/>
    <m/>
    <m/>
    <s v="O003001452"/>
    <m/>
    <m/>
    <n v="20241231"/>
    <m/>
    <m/>
    <n v="20241231"/>
    <n v="8140003371"/>
    <m/>
    <m/>
    <s v="PAGO INTERBANC EMSSANAR ENTIDA"/>
    <m/>
    <x v="2"/>
    <n v="346672"/>
    <n v="12"/>
  </r>
  <r>
    <x v="12"/>
    <d v="2024-12-31T00:00:00"/>
    <s v="PAGO INCAP"/>
    <s v="O003"/>
    <m/>
    <n v="53"/>
    <s v="S"/>
    <n v="1533010002"/>
    <m/>
    <m/>
    <m/>
    <m/>
    <m/>
    <m/>
    <m/>
    <m/>
    <n v="-10080918"/>
    <s v="COP"/>
    <m/>
    <m/>
    <m/>
    <m/>
    <m/>
    <m/>
    <m/>
    <s v="O003001452"/>
    <m/>
    <m/>
    <n v="20241231"/>
    <m/>
    <m/>
    <n v="20241231"/>
    <n v="8300035647"/>
    <m/>
    <m/>
    <s v="PAGO INTERBANC EPS FAMISANAR S"/>
    <m/>
    <x v="3"/>
    <n v="10080918"/>
    <n v="12"/>
  </r>
  <r>
    <x v="12"/>
    <d v="2024-12-31T00:00:00"/>
    <s v="PAGO INCAP"/>
    <s v="O003"/>
    <m/>
    <n v="54"/>
    <s v="S"/>
    <n v="1533010002"/>
    <m/>
    <m/>
    <m/>
    <m/>
    <m/>
    <m/>
    <m/>
    <m/>
    <n v="-2065703"/>
    <s v="COP"/>
    <m/>
    <m/>
    <m/>
    <m/>
    <m/>
    <m/>
    <m/>
    <s v="O003001452"/>
    <m/>
    <m/>
    <n v="20241231"/>
    <m/>
    <m/>
    <n v="20241231"/>
    <n v="8301138310"/>
    <m/>
    <m/>
    <s v="PAGO DE PROV ALIANSALUD EPS"/>
    <m/>
    <x v="0"/>
    <n v="2065703"/>
    <n v="12"/>
  </r>
  <r>
    <x v="12"/>
    <d v="2024-12-31T00:00:00"/>
    <s v="PAGO INCAP"/>
    <s v="O003"/>
    <m/>
    <n v="55"/>
    <s v="S"/>
    <n v="1533010002"/>
    <m/>
    <m/>
    <m/>
    <m/>
    <m/>
    <m/>
    <m/>
    <m/>
    <n v="-20978790"/>
    <s v="COP"/>
    <m/>
    <m/>
    <m/>
    <m/>
    <m/>
    <m/>
    <m/>
    <s v="O003001452"/>
    <m/>
    <m/>
    <n v="20241231"/>
    <m/>
    <m/>
    <n v="20241231"/>
    <n v="8600021839"/>
    <m/>
    <m/>
    <s v="PAGO INTERBANC AXA COLPATRIA S"/>
    <m/>
    <x v="0"/>
    <n v="20978790"/>
    <n v="12"/>
  </r>
  <r>
    <x v="12"/>
    <d v="2024-12-31T00:00:00"/>
    <s v="PAGO INCAP"/>
    <s v="O003"/>
    <m/>
    <n v="56"/>
    <s v="S"/>
    <n v="1533010002"/>
    <m/>
    <m/>
    <m/>
    <m/>
    <m/>
    <m/>
    <m/>
    <m/>
    <n v="-16535802"/>
    <s v="COP"/>
    <m/>
    <m/>
    <m/>
    <m/>
    <m/>
    <m/>
    <m/>
    <s v="O003001452"/>
    <m/>
    <m/>
    <n v="20241231"/>
    <m/>
    <m/>
    <n v="20241231"/>
    <n v="9001562642"/>
    <m/>
    <m/>
    <s v="PAGO DE PROV NUEVA EPS S A"/>
    <m/>
    <x v="5"/>
    <n v="16535802"/>
    <n v="12"/>
  </r>
  <r>
    <x v="12"/>
    <d v="2024-12-31T00:00:00"/>
    <s v="PAGO INCAP"/>
    <s v="O003"/>
    <m/>
    <n v="57"/>
    <s v="S"/>
    <n v="1533010002"/>
    <m/>
    <m/>
    <m/>
    <m/>
    <m/>
    <m/>
    <m/>
    <m/>
    <n v="-303338"/>
    <s v="COP"/>
    <m/>
    <m/>
    <m/>
    <m/>
    <m/>
    <m/>
    <m/>
    <s v="O003001452"/>
    <m/>
    <m/>
    <n v="20241231"/>
    <m/>
    <m/>
    <n v="20241231"/>
    <n v="9006043500"/>
    <m/>
    <m/>
    <s v="PAGO DE PROV AMA EPS S.A.S"/>
    <m/>
    <x v="0"/>
    <n v="303338"/>
    <n v="12"/>
  </r>
  <r>
    <x v="12"/>
    <d v="2024-12-31T00:00:00"/>
    <s v="PAGO INCAP"/>
    <s v="O003"/>
    <m/>
    <n v="59"/>
    <s v="S"/>
    <n v="1533010002"/>
    <m/>
    <m/>
    <m/>
    <m/>
    <m/>
    <m/>
    <m/>
    <m/>
    <n v="-3573000"/>
    <s v="COP"/>
    <m/>
    <m/>
    <m/>
    <m/>
    <m/>
    <m/>
    <m/>
    <s v="O003001452"/>
    <m/>
    <m/>
    <n v="20241231"/>
    <m/>
    <m/>
    <n v="20241231"/>
    <n v="1019098648"/>
    <m/>
    <m/>
    <s v="Devolucion Empleado NOMINA"/>
    <m/>
    <x v="0"/>
    <n v="3573000"/>
    <n v="12"/>
  </r>
  <r>
    <x v="12"/>
    <d v="2024-12-31T00:00:00"/>
    <s v="PAGO INCAP"/>
    <s v="O003"/>
    <m/>
    <n v="63"/>
    <s v="S"/>
    <n v="1533010002"/>
    <m/>
    <m/>
    <m/>
    <m/>
    <m/>
    <m/>
    <m/>
    <m/>
    <n v="-2114491"/>
    <s v="COP"/>
    <m/>
    <m/>
    <m/>
    <m/>
    <m/>
    <m/>
    <m/>
    <s v="O003001452"/>
    <m/>
    <m/>
    <n v="20241231"/>
    <m/>
    <m/>
    <n v="20241231"/>
    <n v="8002514406"/>
    <m/>
    <m/>
    <s v="PAGO INTERBANC EPS SANITAS S A"/>
    <m/>
    <x v="1"/>
    <n v="2114491"/>
    <n v="12"/>
  </r>
  <r>
    <x v="12"/>
    <d v="2024-12-31T00:00:00"/>
    <s v="PAGO INCAP"/>
    <s v="O003"/>
    <m/>
    <n v="64"/>
    <s v="S"/>
    <n v="1533010002"/>
    <m/>
    <m/>
    <m/>
    <m/>
    <m/>
    <m/>
    <m/>
    <m/>
    <n v="-4997209"/>
    <s v="COP"/>
    <m/>
    <m/>
    <m/>
    <m/>
    <m/>
    <m/>
    <m/>
    <s v="O003001452"/>
    <m/>
    <m/>
    <n v="20241231"/>
    <m/>
    <m/>
    <n v="20241231"/>
    <n v="9001562642"/>
    <m/>
    <m/>
    <s v="PAGO DE PROV NUEVA EPS S A"/>
    <m/>
    <x v="5"/>
    <n v="4997209"/>
    <n v="12"/>
  </r>
  <r>
    <x v="12"/>
    <d v="2024-12-31T00:00:00"/>
    <s v="PAGO INCAP"/>
    <s v="O003"/>
    <m/>
    <n v="65"/>
    <s v="S"/>
    <n v="1533010002"/>
    <m/>
    <m/>
    <m/>
    <m/>
    <m/>
    <m/>
    <m/>
    <m/>
    <n v="-1286227"/>
    <s v="COP"/>
    <m/>
    <m/>
    <m/>
    <m/>
    <m/>
    <m/>
    <m/>
    <s v="O003001452"/>
    <m/>
    <m/>
    <n v="20241231"/>
    <m/>
    <m/>
    <n v="20241231"/>
    <n v="8002514406"/>
    <m/>
    <m/>
    <s v="PAGO INTERBANC EPS SANITAS S A"/>
    <m/>
    <x v="1"/>
    <n v="1286227"/>
    <n v="12"/>
  </r>
  <r>
    <x v="13"/>
    <d v="2025-01-31T00:00:00"/>
    <s v="PAGO INCAP"/>
    <s v="O003"/>
    <m/>
    <n v="107"/>
    <s v="S"/>
    <n v="1533010002"/>
    <m/>
    <m/>
    <m/>
    <m/>
    <m/>
    <m/>
    <m/>
    <m/>
    <n v="-34987516"/>
    <s v="COP"/>
    <m/>
    <m/>
    <m/>
    <m/>
    <m/>
    <m/>
    <m/>
    <s v="O003001452"/>
    <m/>
    <m/>
    <n v="20250131"/>
    <m/>
    <m/>
    <n v="20250131"/>
    <n v="8000887022"/>
    <m/>
    <m/>
    <s v="PAGO DE PROV EPS SURAMERICAN"/>
    <m/>
    <x v="6"/>
    <n v="34987516"/>
    <n v="1"/>
  </r>
  <r>
    <x v="13"/>
    <d v="2025-01-31T00:00:00"/>
    <s v="PAGO INCAP"/>
    <s v="O003"/>
    <m/>
    <n v="108"/>
    <s v="S"/>
    <n v="1533010002"/>
    <m/>
    <m/>
    <m/>
    <m/>
    <m/>
    <m/>
    <m/>
    <m/>
    <n v="-26474090"/>
    <s v="COP"/>
    <m/>
    <m/>
    <m/>
    <m/>
    <m/>
    <m/>
    <m/>
    <s v="O003001452"/>
    <m/>
    <m/>
    <n v="20250131"/>
    <m/>
    <m/>
    <n v="20250131"/>
    <n v="8001309074"/>
    <m/>
    <m/>
    <s v="PAGO INTERBANC SALUD-TOTAL-EPS"/>
    <m/>
    <x v="0"/>
    <n v="26474090"/>
    <n v="1"/>
  </r>
  <r>
    <x v="13"/>
    <d v="2025-01-31T00:00:00"/>
    <s v="PAGO INCAP"/>
    <s v="O003"/>
    <m/>
    <n v="109"/>
    <s v="S"/>
    <n v="1533010002"/>
    <m/>
    <m/>
    <m/>
    <m/>
    <m/>
    <m/>
    <m/>
    <m/>
    <n v="-519518"/>
    <s v="COP"/>
    <m/>
    <m/>
    <m/>
    <m/>
    <m/>
    <m/>
    <m/>
    <s v="O003001452"/>
    <m/>
    <m/>
    <n v="20250131"/>
    <m/>
    <m/>
    <n v="20250131"/>
    <n v="8002261753"/>
    <m/>
    <m/>
    <s v="PAGO INTERBANC COLMENA RIESGOS"/>
    <m/>
    <x v="0"/>
    <n v="519518"/>
    <n v="1"/>
  </r>
  <r>
    <x v="13"/>
    <d v="2025-01-31T00:00:00"/>
    <s v="PAGO INCAP"/>
    <s v="O003"/>
    <m/>
    <n v="110"/>
    <s v="S"/>
    <n v="1533010002"/>
    <m/>
    <m/>
    <m/>
    <m/>
    <m/>
    <m/>
    <m/>
    <m/>
    <n v="-7592010"/>
    <s v="COP"/>
    <m/>
    <m/>
    <m/>
    <m/>
    <m/>
    <m/>
    <m/>
    <s v="O003001452"/>
    <m/>
    <m/>
    <n v="20250131"/>
    <m/>
    <m/>
    <n v="20250131"/>
    <n v="8002492410"/>
    <m/>
    <m/>
    <s v="PAGO INTERBANC COOSALUD-ENTIDA"/>
    <m/>
    <x v="0"/>
    <n v="7592010"/>
    <n v="1"/>
  </r>
  <r>
    <x v="13"/>
    <d v="2025-01-31T00:00:00"/>
    <s v="PAGO INCAP"/>
    <s v="O003"/>
    <m/>
    <n v="111"/>
    <s v="S"/>
    <n v="1533010002"/>
    <m/>
    <m/>
    <m/>
    <m/>
    <m/>
    <m/>
    <m/>
    <m/>
    <n v="-101919538"/>
    <s v="COP"/>
    <m/>
    <m/>
    <m/>
    <m/>
    <m/>
    <m/>
    <m/>
    <s v="O003001452"/>
    <m/>
    <m/>
    <n v="20250131"/>
    <m/>
    <m/>
    <n v="20250131"/>
    <n v="8002514406"/>
    <m/>
    <m/>
    <s v="PAGO INTERBANC EPS SANITAS S A"/>
    <m/>
    <x v="1"/>
    <n v="101919538"/>
    <n v="1"/>
  </r>
  <r>
    <x v="13"/>
    <d v="2025-01-31T00:00:00"/>
    <s v="PAGO INCAP"/>
    <s v="O003"/>
    <m/>
    <n v="112"/>
    <s v="S"/>
    <n v="1533010002"/>
    <m/>
    <m/>
    <m/>
    <m/>
    <m/>
    <m/>
    <m/>
    <m/>
    <n v="-43334"/>
    <s v="COP"/>
    <m/>
    <m/>
    <m/>
    <m/>
    <m/>
    <m/>
    <m/>
    <s v="O003001452"/>
    <m/>
    <m/>
    <n v="20250131"/>
    <m/>
    <m/>
    <n v="20250131"/>
    <n v="8060083947"/>
    <m/>
    <m/>
    <s v="PAGO DE PROV ASOCIACION MUTU"/>
    <m/>
    <x v="0"/>
    <n v="43334"/>
    <n v="1"/>
  </r>
  <r>
    <x v="13"/>
    <d v="2025-01-31T00:00:00"/>
    <s v="PAGO INCAP"/>
    <s v="O003"/>
    <m/>
    <n v="113"/>
    <s v="S"/>
    <n v="1533010002"/>
    <m/>
    <m/>
    <m/>
    <m/>
    <m/>
    <m/>
    <m/>
    <m/>
    <n v="-173335"/>
    <s v="COP"/>
    <m/>
    <m/>
    <m/>
    <m/>
    <m/>
    <m/>
    <m/>
    <s v="O003001452"/>
    <m/>
    <m/>
    <n v="20250131"/>
    <m/>
    <m/>
    <n v="20250131"/>
    <n v="8060083947"/>
    <m/>
    <m/>
    <s v="PAGO INTERBANC MUTUAL SER EPS"/>
    <m/>
    <x v="0"/>
    <n v="173335"/>
    <n v="1"/>
  </r>
  <r>
    <x v="13"/>
    <d v="2025-01-31T00:00:00"/>
    <s v="PAGO INCAP"/>
    <s v="O003"/>
    <m/>
    <n v="114"/>
    <s v="S"/>
    <n v="1533010002"/>
    <m/>
    <m/>
    <m/>
    <m/>
    <m/>
    <m/>
    <m/>
    <m/>
    <n v="-2773376"/>
    <s v="COP"/>
    <m/>
    <m/>
    <m/>
    <m/>
    <m/>
    <m/>
    <m/>
    <s v="O003001452"/>
    <m/>
    <m/>
    <n v="20250131"/>
    <m/>
    <m/>
    <n v="20250131"/>
    <n v="8140003371"/>
    <m/>
    <m/>
    <s v="PAGO INTERBANC EMSSANAR ENTIDA"/>
    <m/>
    <x v="2"/>
    <n v="2773376"/>
    <n v="1"/>
  </r>
  <r>
    <x v="13"/>
    <d v="2025-01-31T00:00:00"/>
    <s v="PAGO INCAP"/>
    <s v="O003"/>
    <m/>
    <n v="115"/>
    <s v="S"/>
    <n v="1533010002"/>
    <m/>
    <m/>
    <m/>
    <m/>
    <m/>
    <m/>
    <m/>
    <m/>
    <n v="-20452664"/>
    <s v="COP"/>
    <m/>
    <m/>
    <m/>
    <m/>
    <m/>
    <m/>
    <m/>
    <s v="O003001452"/>
    <m/>
    <m/>
    <n v="20250131"/>
    <m/>
    <m/>
    <n v="20250131"/>
    <n v="8300035647"/>
    <m/>
    <m/>
    <s v="PAGO INTERBANC EPS FAMISANAR S"/>
    <m/>
    <x v="3"/>
    <n v="20452664"/>
    <n v="1"/>
  </r>
  <r>
    <x v="13"/>
    <d v="2025-01-31T00:00:00"/>
    <s v="PAGO INCAP"/>
    <s v="O003"/>
    <m/>
    <n v="116"/>
    <s v="S"/>
    <n v="1533010002"/>
    <m/>
    <m/>
    <m/>
    <m/>
    <m/>
    <m/>
    <m/>
    <m/>
    <n v="-1059871"/>
    <s v="COP"/>
    <m/>
    <m/>
    <m/>
    <m/>
    <m/>
    <m/>
    <m/>
    <s v="O003001452"/>
    <m/>
    <m/>
    <n v="20250131"/>
    <m/>
    <m/>
    <n v="20250131"/>
    <n v="8301138310"/>
    <m/>
    <m/>
    <s v="PAGO DE PROV ALIANSALUD EPS"/>
    <m/>
    <x v="0"/>
    <n v="1059871"/>
    <n v="1"/>
  </r>
  <r>
    <x v="13"/>
    <d v="2025-01-31T00:00:00"/>
    <s v="PAGO INCAP"/>
    <s v="O003"/>
    <m/>
    <n v="117"/>
    <s v="S"/>
    <n v="1533010002"/>
    <m/>
    <m/>
    <m/>
    <m/>
    <m/>
    <m/>
    <m/>
    <m/>
    <n v="-16184248"/>
    <s v="COP"/>
    <m/>
    <m/>
    <m/>
    <m/>
    <m/>
    <m/>
    <m/>
    <s v="O003001452"/>
    <m/>
    <m/>
    <n v="20250131"/>
    <m/>
    <m/>
    <n v="20250131"/>
    <n v="8600021839"/>
    <m/>
    <m/>
    <s v="PAGO INTERBANC AXA COLPATRIA S"/>
    <m/>
    <x v="0"/>
    <n v="16184248"/>
    <n v="1"/>
  </r>
  <r>
    <x v="13"/>
    <d v="2025-01-31T00:00:00"/>
    <s v="PAGO INCAP"/>
    <s v="O003"/>
    <m/>
    <n v="118"/>
    <s v="S"/>
    <n v="1533010002"/>
    <m/>
    <m/>
    <m/>
    <m/>
    <m/>
    <m/>
    <m/>
    <m/>
    <n v="-18219531"/>
    <s v="COP"/>
    <m/>
    <m/>
    <m/>
    <m/>
    <m/>
    <m/>
    <m/>
    <s v="O003001452"/>
    <m/>
    <m/>
    <n v="20250131"/>
    <m/>
    <m/>
    <n v="20250131"/>
    <n v="8600669427"/>
    <m/>
    <m/>
    <s v="PAGO INTERBANC CAJA DE COMPENS"/>
    <m/>
    <x v="4"/>
    <n v="18219531"/>
    <n v="1"/>
  </r>
  <r>
    <x v="13"/>
    <d v="2025-01-31T00:00:00"/>
    <s v="PAGO INCAP"/>
    <s v="O003"/>
    <m/>
    <n v="119"/>
    <s v="S"/>
    <n v="1533010002"/>
    <m/>
    <m/>
    <m/>
    <m/>
    <m/>
    <m/>
    <m/>
    <m/>
    <n v="-224700"/>
    <s v="COP"/>
    <m/>
    <m/>
    <m/>
    <m/>
    <m/>
    <m/>
    <m/>
    <s v="O003001452"/>
    <m/>
    <m/>
    <n v="20250131"/>
    <m/>
    <m/>
    <n v="20250131"/>
    <n v="8600669427"/>
    <m/>
    <m/>
    <s v="PAGO INTERBANC COMFENALCO"/>
    <m/>
    <x v="4"/>
    <n v="224700"/>
    <n v="1"/>
  </r>
  <r>
    <x v="13"/>
    <d v="2025-01-31T00:00:00"/>
    <s v="PAGO INCAP"/>
    <s v="O003"/>
    <m/>
    <n v="120"/>
    <s v="S"/>
    <n v="1533010002"/>
    <m/>
    <m/>
    <m/>
    <m/>
    <m/>
    <m/>
    <m/>
    <m/>
    <n v="-26277515"/>
    <s v="COP"/>
    <m/>
    <m/>
    <m/>
    <m/>
    <m/>
    <m/>
    <m/>
    <s v="O003001452"/>
    <m/>
    <m/>
    <n v="20250131"/>
    <m/>
    <m/>
    <n v="20250131"/>
    <n v="9001562642"/>
    <m/>
    <m/>
    <s v="PAGO DE PROV NUEVA EPS S A"/>
    <m/>
    <x v="5"/>
    <n v="26277515"/>
    <n v="1"/>
  </r>
  <r>
    <x v="13"/>
    <d v="2025-01-31T00:00:00"/>
    <s v="PAGO INCAP"/>
    <s v="O003"/>
    <m/>
    <n v="121"/>
    <s v="S"/>
    <n v="1533010002"/>
    <m/>
    <m/>
    <m/>
    <m/>
    <m/>
    <m/>
    <m/>
    <m/>
    <n v="-969734"/>
    <s v="COP"/>
    <m/>
    <m/>
    <m/>
    <m/>
    <m/>
    <m/>
    <m/>
    <s v="O003001452"/>
    <m/>
    <m/>
    <n v="20250131"/>
    <m/>
    <m/>
    <n v="20250131"/>
    <n v="9009142541"/>
    <m/>
    <m/>
    <s v="PAGO INTERBANC FUNDACION SALUD"/>
    <m/>
    <x v="0"/>
    <n v="969734"/>
    <n v="1"/>
  </r>
  <r>
    <x v="13"/>
    <d v="2025-01-31T00:00:00"/>
    <s v="PAGO INCAP"/>
    <s v="O003"/>
    <m/>
    <n v="122"/>
    <s v="S"/>
    <n v="1533010002"/>
    <m/>
    <m/>
    <m/>
    <m/>
    <m/>
    <m/>
    <m/>
    <m/>
    <n v="-130000"/>
    <s v="COP"/>
    <m/>
    <m/>
    <m/>
    <m/>
    <m/>
    <m/>
    <m/>
    <s v="O003001452"/>
    <m/>
    <m/>
    <n v="20250131"/>
    <m/>
    <m/>
    <n v="20250131"/>
    <n v="8002492410"/>
    <m/>
    <m/>
    <s v="PAGO INTERBANC COOSALUD-ENTIDA"/>
    <m/>
    <x v="0"/>
    <n v="130000"/>
    <n v="1"/>
  </r>
  <r>
    <x v="13"/>
    <d v="2025-01-31T00:00:00"/>
    <s v="PAGO INCAP"/>
    <s v="O003"/>
    <m/>
    <n v="123"/>
    <s v="S"/>
    <n v="1533010002"/>
    <m/>
    <m/>
    <m/>
    <m/>
    <m/>
    <m/>
    <m/>
    <m/>
    <n v="-35011850"/>
    <s v="COP"/>
    <m/>
    <m/>
    <m/>
    <m/>
    <m/>
    <m/>
    <m/>
    <s v="O003001452"/>
    <m/>
    <m/>
    <n v="20250131"/>
    <m/>
    <m/>
    <n v="20250131"/>
    <n v="8600669427"/>
    <m/>
    <m/>
    <s v="PAGO INTERBANC CAJA DE COMPENS"/>
    <m/>
    <x v="4"/>
    <n v="35011850"/>
    <n v="1"/>
  </r>
  <r>
    <x v="13"/>
    <d v="2025-01-31T00:00:00"/>
    <s v="PAGO INCAP"/>
    <s v="O003"/>
    <m/>
    <n v="124"/>
    <s v="S"/>
    <n v="1533010002"/>
    <m/>
    <m/>
    <m/>
    <m/>
    <m/>
    <m/>
    <m/>
    <m/>
    <n v="-93329"/>
    <s v="COP"/>
    <m/>
    <m/>
    <m/>
    <m/>
    <m/>
    <m/>
    <m/>
    <s v="O003001452"/>
    <m/>
    <m/>
    <n v="20250131"/>
    <m/>
    <m/>
    <n v="20250131"/>
    <n v="8909049961"/>
    <m/>
    <m/>
    <s v="EPM"/>
    <m/>
    <x v="0"/>
    <n v="93329"/>
    <n v="1"/>
  </r>
  <r>
    <x v="13"/>
    <d v="2025-01-31T00:00:00"/>
    <s v="PAGO INCAP"/>
    <s v="O003"/>
    <m/>
    <n v="2"/>
    <s v="S"/>
    <n v="1533010002"/>
    <m/>
    <m/>
    <m/>
    <m/>
    <m/>
    <m/>
    <m/>
    <m/>
    <n v="-29688"/>
    <s v="COP"/>
    <m/>
    <m/>
    <m/>
    <m/>
    <m/>
    <m/>
    <m/>
    <s v="O003001452"/>
    <m/>
    <m/>
    <n v="20250131"/>
    <m/>
    <m/>
    <n v="20250131"/>
    <n v="8909049961"/>
    <m/>
    <m/>
    <s v="EPM"/>
    <m/>
    <x v="0"/>
    <n v="29688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n v="1"/>
    <s v="SA"/>
    <s v="Reclasf. Reg"/>
    <x v="0"/>
    <d v="2024-01-23T00:00:00"/>
    <s v="Reclasf. Reg"/>
    <s v="O003"/>
    <m/>
    <n v="2"/>
    <s v="S"/>
    <n v="1533010002"/>
    <m/>
    <m/>
    <m/>
    <m/>
    <m/>
    <m/>
    <m/>
    <m/>
    <n v="3499600"/>
    <s v="COP"/>
    <m/>
    <m/>
    <m/>
    <m/>
    <m/>
    <m/>
    <m/>
    <s v="O003001452"/>
    <m/>
    <m/>
    <n v="20230531"/>
    <m/>
    <m/>
    <n v="20230531"/>
    <n v="8903030935"/>
    <m/>
    <m/>
    <s v="PAGO DE PROV CAJA VALLE DEL CAUCA"/>
    <m/>
    <x v="0"/>
    <n v="3499600"/>
    <n v="1"/>
  </r>
  <r>
    <n v="1"/>
    <s v="SA"/>
    <s v="Pago Incap"/>
    <x v="1"/>
    <d v="2024-01-31T00:00:00"/>
    <s v="PAGO INCAP"/>
    <s v="O003"/>
    <m/>
    <n v="47"/>
    <s v="S"/>
    <n v="1533010002"/>
    <m/>
    <m/>
    <m/>
    <m/>
    <m/>
    <m/>
    <m/>
    <m/>
    <n v="-39028523"/>
    <s v="COP"/>
    <m/>
    <m/>
    <m/>
    <m/>
    <m/>
    <m/>
    <m/>
    <s v="O003001452"/>
    <m/>
    <m/>
    <n v="20240131"/>
    <m/>
    <m/>
    <n v="20240131"/>
    <n v="8001309074"/>
    <m/>
    <m/>
    <s v="PAGO DE PROV SALUD TOTAL EPS"/>
    <m/>
    <x v="0"/>
    <n v="39028523"/>
    <n v="1"/>
  </r>
  <r>
    <n v="1"/>
    <s v="SA"/>
    <s v="Pago Incap"/>
    <x v="1"/>
    <d v="2024-01-31T00:00:00"/>
    <s v="PAGO INCAP"/>
    <s v="O003"/>
    <m/>
    <n v="48"/>
    <s v="S"/>
    <n v="1533010002"/>
    <m/>
    <m/>
    <m/>
    <m/>
    <m/>
    <m/>
    <m/>
    <m/>
    <n v="-46914091"/>
    <s v="COP"/>
    <m/>
    <m/>
    <m/>
    <m/>
    <m/>
    <m/>
    <m/>
    <s v="O003001452"/>
    <m/>
    <m/>
    <n v="20240131"/>
    <m/>
    <m/>
    <n v="20240131"/>
    <n v="8002514406"/>
    <m/>
    <m/>
    <s v="PAGO INTERBANC EPS SANITAS S A"/>
    <m/>
    <x v="1"/>
    <n v="46914091"/>
    <n v="1"/>
  </r>
  <r>
    <n v="1"/>
    <s v="SA"/>
    <s v="Pago Incap"/>
    <x v="1"/>
    <d v="2024-01-31T00:00:00"/>
    <s v="PAGO INCAP"/>
    <s v="O003"/>
    <m/>
    <n v="49"/>
    <s v="S"/>
    <n v="1533010002"/>
    <m/>
    <m/>
    <m/>
    <m/>
    <m/>
    <m/>
    <m/>
    <m/>
    <n v="-3962995"/>
    <s v="COP"/>
    <m/>
    <m/>
    <m/>
    <m/>
    <m/>
    <m/>
    <m/>
    <s v="O003001452"/>
    <m/>
    <m/>
    <n v="20240131"/>
    <m/>
    <m/>
    <n v="20240131"/>
    <n v="8050011572"/>
    <m/>
    <m/>
    <s v="PAGO INTERBANC EPS  SOS S A"/>
    <m/>
    <x v="0"/>
    <n v="3962995"/>
    <n v="1"/>
  </r>
  <r>
    <n v="1"/>
    <s v="SA"/>
    <s v="Pago Incap"/>
    <x v="1"/>
    <d v="2024-01-31T00:00:00"/>
    <s v="PAGO INCAP"/>
    <s v="O003"/>
    <m/>
    <n v="50"/>
    <s v="S"/>
    <n v="1533010002"/>
    <m/>
    <m/>
    <m/>
    <m/>
    <m/>
    <m/>
    <m/>
    <m/>
    <n v="-1121343"/>
    <s v="COP"/>
    <m/>
    <m/>
    <m/>
    <m/>
    <m/>
    <m/>
    <m/>
    <s v="O003001452"/>
    <m/>
    <m/>
    <n v="20240131"/>
    <m/>
    <m/>
    <n v="20240131"/>
    <n v="8140003371"/>
    <m/>
    <m/>
    <s v="PAGO INTERBANC EMSSANAR ENTIDA"/>
    <m/>
    <x v="2"/>
    <n v="1121343"/>
    <n v="1"/>
  </r>
  <r>
    <n v="1"/>
    <s v="SA"/>
    <s v="Pago Incap"/>
    <x v="1"/>
    <d v="2024-01-31T00:00:00"/>
    <s v="PAGO INCAP"/>
    <s v="O003"/>
    <m/>
    <n v="51"/>
    <s v="S"/>
    <n v="1533010002"/>
    <m/>
    <m/>
    <m/>
    <m/>
    <m/>
    <m/>
    <m/>
    <m/>
    <n v="-28827471"/>
    <s v="COP"/>
    <m/>
    <m/>
    <m/>
    <m/>
    <m/>
    <m/>
    <m/>
    <s v="O003001452"/>
    <m/>
    <m/>
    <n v="20240131"/>
    <m/>
    <m/>
    <n v="20240131"/>
    <n v="8300035647"/>
    <m/>
    <m/>
    <s v="PAGO INTERBANC EPS FAMISANAR S"/>
    <m/>
    <x v="3"/>
    <n v="28827471"/>
    <n v="1"/>
  </r>
  <r>
    <n v="1"/>
    <s v="SA"/>
    <s v="Pago Incap"/>
    <x v="1"/>
    <d v="2024-01-31T00:00:00"/>
    <s v="PAGO INCAP"/>
    <s v="O003"/>
    <m/>
    <n v="52"/>
    <s v="S"/>
    <n v="1533010002"/>
    <m/>
    <m/>
    <m/>
    <m/>
    <m/>
    <m/>
    <m/>
    <m/>
    <n v="-1342499"/>
    <s v="COP"/>
    <m/>
    <m/>
    <m/>
    <m/>
    <m/>
    <m/>
    <m/>
    <s v="O003001452"/>
    <m/>
    <m/>
    <n v="20240131"/>
    <m/>
    <m/>
    <n v="20240131"/>
    <n v="8301138310"/>
    <m/>
    <m/>
    <s v="PAGO DE PROV ALIANSALUD EPS"/>
    <m/>
    <x v="0"/>
    <n v="1342499"/>
    <n v="1"/>
  </r>
  <r>
    <n v="1"/>
    <s v="SA"/>
    <s v="Pago Incap"/>
    <x v="1"/>
    <d v="2024-01-31T00:00:00"/>
    <s v="PAGO INCAP"/>
    <s v="O003"/>
    <m/>
    <n v="53"/>
    <s v="S"/>
    <n v="1533010002"/>
    <m/>
    <m/>
    <m/>
    <m/>
    <m/>
    <m/>
    <m/>
    <m/>
    <n v="-15946683"/>
    <s v="COP"/>
    <m/>
    <m/>
    <m/>
    <m/>
    <m/>
    <m/>
    <m/>
    <s v="O003001452"/>
    <m/>
    <m/>
    <n v="20240131"/>
    <m/>
    <m/>
    <n v="20240131"/>
    <n v="8600021839"/>
    <m/>
    <m/>
    <s v="PAGO INTERBANC AXA COLPATRIA S"/>
    <m/>
    <x v="0"/>
    <n v="15946683"/>
    <n v="1"/>
  </r>
  <r>
    <n v="1"/>
    <s v="SA"/>
    <s v="Pago Incap"/>
    <x v="1"/>
    <d v="2024-01-31T00:00:00"/>
    <s v="PAGO INCAP"/>
    <s v="O003"/>
    <m/>
    <n v="54"/>
    <s v="S"/>
    <n v="1533010002"/>
    <m/>
    <m/>
    <m/>
    <m/>
    <m/>
    <m/>
    <m/>
    <m/>
    <n v="-8401543"/>
    <s v="COP"/>
    <m/>
    <m/>
    <m/>
    <m/>
    <m/>
    <m/>
    <m/>
    <s v="O003001452"/>
    <m/>
    <m/>
    <n v="20240131"/>
    <m/>
    <m/>
    <n v="20240131"/>
    <n v="8600669427"/>
    <m/>
    <m/>
    <s v="PAGO INTERBANC CAJA DE COMPENS"/>
    <m/>
    <x v="4"/>
    <n v="8401543"/>
    <n v="1"/>
  </r>
  <r>
    <n v="1"/>
    <s v="SA"/>
    <s v="Pago Incap"/>
    <x v="1"/>
    <d v="2024-01-31T00:00:00"/>
    <s v="PAGO INCAP"/>
    <s v="O003"/>
    <m/>
    <n v="55"/>
    <s v="S"/>
    <n v="1533010002"/>
    <m/>
    <m/>
    <m/>
    <m/>
    <m/>
    <m/>
    <m/>
    <m/>
    <n v="-40168602"/>
    <s v="COP"/>
    <m/>
    <m/>
    <m/>
    <m/>
    <m/>
    <m/>
    <m/>
    <s v="O003001452"/>
    <m/>
    <m/>
    <n v="20240131"/>
    <m/>
    <m/>
    <n v="20240131"/>
    <n v="9001562642"/>
    <m/>
    <m/>
    <s v="PAGO DE PROV NUEVA EPS S A"/>
    <m/>
    <x v="5"/>
    <n v="40168602"/>
    <n v="1"/>
  </r>
  <r>
    <n v="1"/>
    <s v="SA"/>
    <s v="Pago Incap"/>
    <x v="1"/>
    <d v="2024-01-31T00:00:00"/>
    <s v="PAGO INCAP"/>
    <s v="O003"/>
    <m/>
    <n v="56"/>
    <s v="S"/>
    <n v="1533010002"/>
    <m/>
    <m/>
    <m/>
    <m/>
    <m/>
    <m/>
    <m/>
    <m/>
    <n v="-3623546"/>
    <s v="COP"/>
    <m/>
    <m/>
    <m/>
    <m/>
    <m/>
    <m/>
    <m/>
    <s v="O003001452"/>
    <m/>
    <m/>
    <n v="20240131"/>
    <m/>
    <m/>
    <n v="20240131"/>
    <n v="8000887022"/>
    <m/>
    <m/>
    <s v="EPS SURA"/>
    <m/>
    <x v="6"/>
    <n v="3623546"/>
    <n v="1"/>
  </r>
  <r>
    <n v="1"/>
    <s v="SA"/>
    <s v="Pago Incap"/>
    <x v="1"/>
    <d v="2024-01-31T00:00:00"/>
    <s v="PAGO INCAP"/>
    <s v="O003"/>
    <m/>
    <n v="83"/>
    <s v="S"/>
    <n v="1533010002"/>
    <m/>
    <m/>
    <m/>
    <m/>
    <m/>
    <m/>
    <m/>
    <m/>
    <n v="-5998997"/>
    <s v="COP"/>
    <m/>
    <m/>
    <m/>
    <m/>
    <m/>
    <m/>
    <m/>
    <s v="O003001452"/>
    <m/>
    <m/>
    <n v="20240131"/>
    <m/>
    <m/>
    <n v="20240131"/>
    <n v="8903030935"/>
    <m/>
    <m/>
    <s v="COMFENALCO VALLE"/>
    <m/>
    <x v="0"/>
    <n v="5998997"/>
    <n v="1"/>
  </r>
  <r>
    <n v="1"/>
    <s v="SA"/>
    <s v="Pago Incap"/>
    <x v="1"/>
    <d v="2024-01-31T00:00:00"/>
    <s v="PAGO INCAP"/>
    <s v="O003"/>
    <m/>
    <n v="84"/>
    <s v="S"/>
    <n v="1533010002"/>
    <m/>
    <m/>
    <m/>
    <m/>
    <m/>
    <m/>
    <m/>
    <m/>
    <n v="-9986886"/>
    <s v="COP"/>
    <m/>
    <m/>
    <m/>
    <m/>
    <m/>
    <m/>
    <m/>
    <s v="O003001452"/>
    <m/>
    <m/>
    <n v="20240131"/>
    <m/>
    <m/>
    <n v="20240131"/>
    <n v="8903030935"/>
    <m/>
    <m/>
    <s v="COMFENALCO VALLE"/>
    <m/>
    <x v="0"/>
    <n v="9986886"/>
    <n v="1"/>
  </r>
  <r>
    <n v="1"/>
    <s v="SA"/>
    <s v="Pago Incap"/>
    <x v="1"/>
    <d v="2024-01-31T00:00:00"/>
    <s v="PAGO INCAP"/>
    <s v="O003"/>
    <m/>
    <n v="85"/>
    <s v="S"/>
    <n v="1533010002"/>
    <m/>
    <m/>
    <m/>
    <m/>
    <m/>
    <m/>
    <m/>
    <m/>
    <n v="-292472"/>
    <s v="COP"/>
    <m/>
    <m/>
    <m/>
    <m/>
    <m/>
    <m/>
    <m/>
    <s v="O003001452"/>
    <m/>
    <m/>
    <n v="20240131"/>
    <m/>
    <m/>
    <n v="20240131"/>
    <n v="8909049961"/>
    <m/>
    <m/>
    <s v="EPM"/>
    <m/>
    <x v="0"/>
    <n v="292472"/>
    <n v="1"/>
  </r>
  <r>
    <n v="1"/>
    <s v="SA"/>
    <s v="Pago Incap"/>
    <x v="2"/>
    <d v="2024-02-29T00:00:00"/>
    <s v="PAGO INCAP"/>
    <s v="O003"/>
    <m/>
    <n v="52"/>
    <s v="S"/>
    <n v="1533010002"/>
    <m/>
    <m/>
    <m/>
    <m/>
    <m/>
    <m/>
    <m/>
    <m/>
    <n v="-42933257"/>
    <s v="COP"/>
    <m/>
    <m/>
    <m/>
    <m/>
    <m/>
    <m/>
    <m/>
    <s v="O003001452"/>
    <m/>
    <m/>
    <n v="20240229"/>
    <m/>
    <m/>
    <n v="20240229"/>
    <n v="8000887022"/>
    <m/>
    <m/>
    <s v="PAGO DE PROV EPS SURAMERICAN"/>
    <m/>
    <x v="6"/>
    <n v="42933257"/>
    <n v="2"/>
  </r>
  <r>
    <n v="1"/>
    <s v="SA"/>
    <s v="Pago Incap"/>
    <x v="2"/>
    <d v="2024-02-29T00:00:00"/>
    <s v="PAGO INCAP"/>
    <s v="O003"/>
    <m/>
    <n v="53"/>
    <s v="S"/>
    <n v="1533010002"/>
    <m/>
    <m/>
    <m/>
    <m/>
    <m/>
    <m/>
    <m/>
    <m/>
    <n v="-2669518"/>
    <s v="COP"/>
    <m/>
    <m/>
    <m/>
    <m/>
    <m/>
    <m/>
    <m/>
    <s v="O003001452"/>
    <m/>
    <m/>
    <n v="20240229"/>
    <m/>
    <m/>
    <n v="20240229"/>
    <n v="8001309074"/>
    <m/>
    <m/>
    <s v="PAGO DE PROV SALUD TOTAL EPS"/>
    <m/>
    <x v="0"/>
    <n v="2669518"/>
    <n v="2"/>
  </r>
  <r>
    <n v="1"/>
    <s v="SA"/>
    <s v="Pago Incap"/>
    <x v="2"/>
    <d v="2024-02-29T00:00:00"/>
    <s v="PAGO INCAP"/>
    <s v="O003"/>
    <m/>
    <n v="54"/>
    <s v="S"/>
    <n v="1533010002"/>
    <m/>
    <m/>
    <m/>
    <m/>
    <m/>
    <m/>
    <m/>
    <m/>
    <n v="-71099032"/>
    <s v="COP"/>
    <m/>
    <m/>
    <m/>
    <m/>
    <m/>
    <m/>
    <m/>
    <s v="O003001452"/>
    <m/>
    <m/>
    <n v="20240229"/>
    <m/>
    <m/>
    <n v="20240229"/>
    <n v="8002514406"/>
    <m/>
    <m/>
    <s v="PAGO INTERBANC EPS SANITAS S A"/>
    <m/>
    <x v="1"/>
    <n v="71099032"/>
    <n v="2"/>
  </r>
  <r>
    <n v="1"/>
    <s v="SA"/>
    <s v="Pago Incap"/>
    <x v="2"/>
    <d v="2024-02-29T00:00:00"/>
    <s v="PAGO INCAP"/>
    <s v="O003"/>
    <m/>
    <n v="55"/>
    <s v="S"/>
    <n v="1533010002"/>
    <m/>
    <m/>
    <m/>
    <m/>
    <m/>
    <m/>
    <m/>
    <m/>
    <n v="-997911"/>
    <s v="COP"/>
    <m/>
    <m/>
    <m/>
    <m/>
    <m/>
    <m/>
    <m/>
    <s v="O003001452"/>
    <m/>
    <m/>
    <n v="20240229"/>
    <m/>
    <m/>
    <n v="20240229"/>
    <n v="8050011572"/>
    <m/>
    <m/>
    <s v="PAGO INTERBANC EPS  SOS S A"/>
    <m/>
    <x v="0"/>
    <n v="997911"/>
    <n v="2"/>
  </r>
  <r>
    <n v="1"/>
    <s v="SA"/>
    <s v="Pago Incap"/>
    <x v="2"/>
    <d v="2024-02-29T00:00:00"/>
    <s v="PAGO INCAP"/>
    <s v="O003"/>
    <m/>
    <n v="56"/>
    <s v="S"/>
    <n v="1533010002"/>
    <m/>
    <m/>
    <m/>
    <m/>
    <m/>
    <m/>
    <m/>
    <m/>
    <n v="-38667"/>
    <s v="COP"/>
    <m/>
    <m/>
    <m/>
    <m/>
    <m/>
    <m/>
    <m/>
    <s v="O003001452"/>
    <m/>
    <m/>
    <n v="20240229"/>
    <m/>
    <m/>
    <n v="20240229"/>
    <n v="8060083947"/>
    <m/>
    <m/>
    <s v="PAGO INTERBANC MUTUAL SER EPS"/>
    <m/>
    <x v="0"/>
    <n v="38667"/>
    <n v="2"/>
  </r>
  <r>
    <n v="1"/>
    <s v="SA"/>
    <s v="Pago Incap"/>
    <x v="2"/>
    <d v="2024-02-29T00:00:00"/>
    <s v="PAGO INCAP"/>
    <s v="O003"/>
    <m/>
    <n v="57"/>
    <s v="S"/>
    <n v="1533010002"/>
    <m/>
    <m/>
    <m/>
    <m/>
    <m/>
    <m/>
    <m/>
    <m/>
    <n v="-2325361"/>
    <s v="COP"/>
    <m/>
    <m/>
    <m/>
    <m/>
    <m/>
    <m/>
    <m/>
    <s v="O003001452"/>
    <m/>
    <m/>
    <n v="20240229"/>
    <m/>
    <m/>
    <n v="20240229"/>
    <n v="8140003371"/>
    <m/>
    <m/>
    <s v="PAGO INTERBANC EMSSANAR ENTIDA"/>
    <m/>
    <x v="2"/>
    <n v="2325361"/>
    <n v="2"/>
  </r>
  <r>
    <n v="1"/>
    <s v="SA"/>
    <s v="Pago Incap"/>
    <x v="2"/>
    <d v="2024-02-29T00:00:00"/>
    <s v="PAGO INCAP"/>
    <s v="O003"/>
    <m/>
    <n v="58"/>
    <s v="S"/>
    <n v="1533010002"/>
    <m/>
    <m/>
    <m/>
    <m/>
    <m/>
    <m/>
    <m/>
    <m/>
    <n v="-17170822"/>
    <s v="COP"/>
    <m/>
    <m/>
    <m/>
    <m/>
    <m/>
    <m/>
    <m/>
    <s v="O003001452"/>
    <m/>
    <m/>
    <n v="20240229"/>
    <m/>
    <m/>
    <n v="20240229"/>
    <n v="8300035647"/>
    <m/>
    <m/>
    <s v="PAGO INTERBANC EPS FAMISANAR S"/>
    <m/>
    <x v="3"/>
    <n v="17170822"/>
    <n v="2"/>
  </r>
  <r>
    <n v="1"/>
    <s v="SA"/>
    <s v="Pago Incap"/>
    <x v="2"/>
    <d v="2024-02-29T00:00:00"/>
    <s v="PAGO INCAP"/>
    <s v="O003"/>
    <m/>
    <n v="59"/>
    <s v="S"/>
    <n v="1533010002"/>
    <m/>
    <m/>
    <m/>
    <m/>
    <m/>
    <m/>
    <m/>
    <m/>
    <n v="-16967412"/>
    <s v="COP"/>
    <m/>
    <m/>
    <m/>
    <m/>
    <m/>
    <m/>
    <m/>
    <s v="O003001452"/>
    <m/>
    <m/>
    <n v="20240229"/>
    <m/>
    <m/>
    <n v="20240229"/>
    <n v="8301138310"/>
    <m/>
    <m/>
    <s v="PAGO DE PROV ALIANSALUD EPS"/>
    <m/>
    <x v="0"/>
    <n v="16967412"/>
    <n v="2"/>
  </r>
  <r>
    <n v="1"/>
    <s v="SA"/>
    <s v="Pago Incap"/>
    <x v="2"/>
    <d v="2024-02-29T00:00:00"/>
    <s v="PAGO INCAP"/>
    <s v="O003"/>
    <m/>
    <n v="60"/>
    <s v="S"/>
    <n v="1533010002"/>
    <m/>
    <m/>
    <m/>
    <m/>
    <m/>
    <m/>
    <m/>
    <m/>
    <n v="-14573203"/>
    <s v="COP"/>
    <m/>
    <m/>
    <m/>
    <m/>
    <m/>
    <m/>
    <m/>
    <s v="O003001452"/>
    <m/>
    <m/>
    <n v="20240229"/>
    <m/>
    <m/>
    <n v="20240229"/>
    <n v="8600021839"/>
    <m/>
    <m/>
    <s v="PAGO INTERBANC AXA COLPATRIA S"/>
    <m/>
    <x v="0"/>
    <n v="14573203"/>
    <n v="2"/>
  </r>
  <r>
    <n v="1"/>
    <s v="SA"/>
    <s v="Pago Incap"/>
    <x v="2"/>
    <d v="2024-02-29T00:00:00"/>
    <s v="PAGO INCAP"/>
    <s v="O003"/>
    <m/>
    <n v="61"/>
    <s v="S"/>
    <n v="1533010002"/>
    <m/>
    <m/>
    <m/>
    <m/>
    <m/>
    <m/>
    <m/>
    <m/>
    <n v="-3510825"/>
    <s v="COP"/>
    <m/>
    <m/>
    <m/>
    <m/>
    <m/>
    <m/>
    <m/>
    <s v="O003001452"/>
    <m/>
    <m/>
    <n v="20240229"/>
    <m/>
    <m/>
    <n v="20240229"/>
    <n v="8600669427"/>
    <m/>
    <m/>
    <s v="PAGO INTERBANC CAJA DE COMPENS"/>
    <m/>
    <x v="4"/>
    <n v="3510825"/>
    <n v="2"/>
  </r>
  <r>
    <n v="1"/>
    <s v="SA"/>
    <s v="Pago Incap"/>
    <x v="2"/>
    <d v="2024-02-29T00:00:00"/>
    <s v="PAGO INCAP"/>
    <s v="O003"/>
    <m/>
    <n v="62"/>
    <s v="S"/>
    <n v="1533010002"/>
    <m/>
    <m/>
    <m/>
    <m/>
    <m/>
    <m/>
    <m/>
    <m/>
    <n v="-40155599"/>
    <s v="COP"/>
    <m/>
    <m/>
    <m/>
    <m/>
    <m/>
    <m/>
    <m/>
    <s v="O003001452"/>
    <m/>
    <m/>
    <n v="20240229"/>
    <m/>
    <m/>
    <n v="20240229"/>
    <n v="9001562642"/>
    <m/>
    <m/>
    <s v="PAGO DE PROV NUEVA EPS S A"/>
    <m/>
    <x v="5"/>
    <n v="40155599"/>
    <n v="2"/>
  </r>
  <r>
    <n v="1"/>
    <s v="SA"/>
    <s v="Pago Incap"/>
    <x v="2"/>
    <d v="2024-02-29T00:00:00"/>
    <s v="PAGO INCAP"/>
    <s v="O003"/>
    <m/>
    <n v="63"/>
    <s v="S"/>
    <n v="1533010002"/>
    <m/>
    <m/>
    <m/>
    <m/>
    <m/>
    <m/>
    <m/>
    <m/>
    <n v="-116001"/>
    <s v="COP"/>
    <m/>
    <m/>
    <m/>
    <m/>
    <m/>
    <m/>
    <m/>
    <s v="O003001452"/>
    <m/>
    <m/>
    <n v="20240229"/>
    <m/>
    <m/>
    <n v="20240229"/>
    <n v="9002983729"/>
    <m/>
    <m/>
    <s v="PAGO DE PROV CAPITAL SALUD E"/>
    <m/>
    <x v="0"/>
    <n v="116001"/>
    <n v="2"/>
  </r>
  <r>
    <n v="1"/>
    <s v="SA"/>
    <s v="Pago Incap"/>
    <x v="2"/>
    <d v="2024-02-29T00:00:00"/>
    <s v="PAGO INCAP"/>
    <s v="O003"/>
    <m/>
    <n v="64"/>
    <s v="S"/>
    <n v="1533010002"/>
    <m/>
    <m/>
    <m/>
    <m/>
    <m/>
    <m/>
    <m/>
    <m/>
    <n v="-1237344"/>
    <s v="COP"/>
    <m/>
    <m/>
    <m/>
    <m/>
    <m/>
    <m/>
    <m/>
    <s v="O003001452"/>
    <m/>
    <m/>
    <n v="20240229"/>
    <m/>
    <m/>
    <n v="20240229"/>
    <n v="9006043500"/>
    <m/>
    <m/>
    <s v="PAGO DE PROV AMA EPS S.A.S"/>
    <m/>
    <x v="0"/>
    <n v="1237344"/>
    <n v="2"/>
  </r>
  <r>
    <n v="1"/>
    <s v="SA"/>
    <s v="Pago Incap"/>
    <x v="2"/>
    <d v="2024-02-29T00:00:00"/>
    <s v="PAGO INCAP"/>
    <s v="O003"/>
    <m/>
    <n v="65"/>
    <s v="S"/>
    <n v="1533010002"/>
    <m/>
    <m/>
    <m/>
    <m/>
    <m/>
    <m/>
    <m/>
    <m/>
    <n v="-10671015"/>
    <s v="COP"/>
    <m/>
    <m/>
    <m/>
    <m/>
    <m/>
    <m/>
    <m/>
    <s v="O003001452"/>
    <m/>
    <m/>
    <n v="20240229"/>
    <m/>
    <m/>
    <n v="20240229"/>
    <n v="9009142541"/>
    <m/>
    <m/>
    <s v="PAGO INTERBANC FUNDACION SALUD"/>
    <m/>
    <x v="0"/>
    <n v="10671015"/>
    <n v="2"/>
  </r>
  <r>
    <n v="4"/>
    <s v="SA"/>
    <s v="Pago Incap"/>
    <x v="3"/>
    <d v="2024-03-31T00:00:00"/>
    <s v="PAGO INCAP"/>
    <s v="O003"/>
    <m/>
    <n v="237"/>
    <s v="S"/>
    <n v="1533010002"/>
    <m/>
    <m/>
    <m/>
    <m/>
    <m/>
    <m/>
    <m/>
    <m/>
    <n v="-12209087"/>
    <s v="COP"/>
    <m/>
    <m/>
    <m/>
    <m/>
    <m/>
    <m/>
    <m/>
    <s v="O003001452"/>
    <m/>
    <m/>
    <n v="20240331"/>
    <m/>
    <m/>
    <n v="20240331"/>
    <n v="8000887022"/>
    <m/>
    <m/>
    <s v="PAGO DE PROV EPS SURAMERICAN"/>
    <m/>
    <x v="6"/>
    <n v="12209087"/>
    <n v="3"/>
  </r>
  <r>
    <n v="4"/>
    <s v="SA"/>
    <s v="Pago Incap"/>
    <x v="3"/>
    <d v="2024-03-31T00:00:00"/>
    <s v="PAGO INCAP"/>
    <s v="O003"/>
    <m/>
    <n v="238"/>
    <s v="S"/>
    <n v="1533010002"/>
    <m/>
    <m/>
    <m/>
    <m/>
    <m/>
    <m/>
    <m/>
    <m/>
    <n v="-6504524"/>
    <s v="COP"/>
    <m/>
    <m/>
    <m/>
    <m/>
    <m/>
    <m/>
    <m/>
    <s v="O003001452"/>
    <m/>
    <m/>
    <n v="20240331"/>
    <m/>
    <m/>
    <n v="20240331"/>
    <n v="8001309074"/>
    <m/>
    <m/>
    <s v="PAGO DE PROV SALUD TOTAL EPS"/>
    <m/>
    <x v="0"/>
    <n v="6504524"/>
    <n v="3"/>
  </r>
  <r>
    <n v="4"/>
    <s v="SA"/>
    <s v="Pago Incap"/>
    <x v="3"/>
    <d v="2024-03-31T00:00:00"/>
    <s v="PAGO INCAP"/>
    <s v="O003"/>
    <m/>
    <n v="239"/>
    <s v="S"/>
    <n v="1533010002"/>
    <m/>
    <m/>
    <m/>
    <m/>
    <m/>
    <m/>
    <m/>
    <m/>
    <n v="-3209334"/>
    <s v="COP"/>
    <m/>
    <m/>
    <m/>
    <m/>
    <m/>
    <m/>
    <m/>
    <s v="O003001452"/>
    <m/>
    <m/>
    <n v="20240331"/>
    <m/>
    <m/>
    <n v="20240331"/>
    <n v="8002492410"/>
    <m/>
    <m/>
    <s v="PAGO INTERBANC COOSALUD-ENTIDA"/>
    <m/>
    <x v="0"/>
    <n v="3209334"/>
    <n v="3"/>
  </r>
  <r>
    <n v="4"/>
    <s v="SA"/>
    <s v="Pago Incap"/>
    <x v="3"/>
    <d v="2024-03-31T00:00:00"/>
    <s v="PAGO INCAP"/>
    <s v="O003"/>
    <m/>
    <n v="240"/>
    <s v="S"/>
    <n v="1533010002"/>
    <m/>
    <m/>
    <m/>
    <m/>
    <m/>
    <m/>
    <m/>
    <m/>
    <n v="-15917110"/>
    <s v="COP"/>
    <m/>
    <m/>
    <m/>
    <m/>
    <m/>
    <m/>
    <m/>
    <s v="O003001452"/>
    <m/>
    <m/>
    <n v="20240331"/>
    <m/>
    <m/>
    <n v="20240331"/>
    <n v="8002514406"/>
    <m/>
    <m/>
    <s v="PAGO INTERBANC EPS SANITAS S A"/>
    <m/>
    <x v="1"/>
    <n v="15917110"/>
    <n v="3"/>
  </r>
  <r>
    <n v="4"/>
    <s v="SA"/>
    <s v="Pago Incap"/>
    <x v="3"/>
    <d v="2024-03-31T00:00:00"/>
    <s v="PAGO INCAP"/>
    <s v="O003"/>
    <m/>
    <n v="241"/>
    <s v="S"/>
    <n v="1533010002"/>
    <m/>
    <m/>
    <m/>
    <m/>
    <m/>
    <m/>
    <m/>
    <m/>
    <n v="-77334"/>
    <s v="COP"/>
    <m/>
    <m/>
    <m/>
    <m/>
    <m/>
    <m/>
    <m/>
    <s v="O003001452"/>
    <m/>
    <m/>
    <n v="20240331"/>
    <m/>
    <m/>
    <n v="20240331"/>
    <n v="8050011572"/>
    <m/>
    <m/>
    <s v="PAGO INTERBANC EPS  SOS S A"/>
    <m/>
    <x v="0"/>
    <n v="77334"/>
    <n v="3"/>
  </r>
  <r>
    <n v="4"/>
    <s v="SA"/>
    <s v="Pago Incap"/>
    <x v="3"/>
    <d v="2024-03-31T00:00:00"/>
    <s v="PAGO INCAP"/>
    <s v="O003"/>
    <m/>
    <n v="242"/>
    <s v="S"/>
    <n v="1533010002"/>
    <m/>
    <m/>
    <m/>
    <m/>
    <m/>
    <m/>
    <m/>
    <m/>
    <n v="-212001"/>
    <s v="COP"/>
    <m/>
    <m/>
    <m/>
    <m/>
    <m/>
    <m/>
    <m/>
    <s v="O003001452"/>
    <m/>
    <m/>
    <n v="20240331"/>
    <m/>
    <m/>
    <n v="20240331"/>
    <n v="8060083947"/>
    <m/>
    <m/>
    <s v="PAGO INTERBANC MUTUAL SER EPS"/>
    <m/>
    <x v="0"/>
    <n v="212001"/>
    <n v="3"/>
  </r>
  <r>
    <n v="4"/>
    <s v="SA"/>
    <s v="Pago Incap"/>
    <x v="3"/>
    <d v="2024-03-31T00:00:00"/>
    <s v="PAGO INCAP"/>
    <s v="O003"/>
    <m/>
    <n v="243"/>
    <s v="S"/>
    <n v="1533010002"/>
    <m/>
    <m/>
    <m/>
    <m/>
    <m/>
    <m/>
    <m/>
    <m/>
    <n v="-16862650"/>
    <s v="COP"/>
    <m/>
    <m/>
    <m/>
    <m/>
    <m/>
    <m/>
    <m/>
    <s v="O003001452"/>
    <m/>
    <m/>
    <n v="20240331"/>
    <m/>
    <m/>
    <n v="20240331"/>
    <n v="8300035647"/>
    <m/>
    <m/>
    <s v="PAGO INTERBANC EPS FAMISANAR S"/>
    <m/>
    <x v="3"/>
    <n v="16862650"/>
    <n v="3"/>
  </r>
  <r>
    <n v="4"/>
    <s v="SA"/>
    <s v="Pago Incap"/>
    <x v="3"/>
    <d v="2024-03-31T00:00:00"/>
    <s v="PAGO INCAP"/>
    <s v="O003"/>
    <m/>
    <n v="244"/>
    <s v="S"/>
    <n v="1533010002"/>
    <m/>
    <m/>
    <m/>
    <m/>
    <m/>
    <m/>
    <m/>
    <m/>
    <n v="-22887098"/>
    <s v="COP"/>
    <m/>
    <m/>
    <m/>
    <m/>
    <m/>
    <m/>
    <m/>
    <s v="O003001452"/>
    <m/>
    <m/>
    <n v="20240331"/>
    <m/>
    <m/>
    <n v="20240331"/>
    <n v="8301138310"/>
    <m/>
    <m/>
    <s v="PAGO DE PROV ALIANSALUD EPS"/>
    <m/>
    <x v="0"/>
    <n v="22887098"/>
    <n v="3"/>
  </r>
  <r>
    <n v="4"/>
    <s v="SA"/>
    <s v="Pago Incap"/>
    <x v="3"/>
    <d v="2024-03-31T00:00:00"/>
    <s v="PAGO INCAP"/>
    <s v="O003"/>
    <m/>
    <n v="245"/>
    <s v="S"/>
    <n v="1533010002"/>
    <m/>
    <m/>
    <m/>
    <m/>
    <m/>
    <m/>
    <m/>
    <m/>
    <n v="-14001696"/>
    <s v="COP"/>
    <m/>
    <m/>
    <m/>
    <m/>
    <m/>
    <m/>
    <m/>
    <s v="O003001452"/>
    <m/>
    <m/>
    <n v="20240331"/>
    <m/>
    <m/>
    <n v="20240331"/>
    <n v="8600021839"/>
    <m/>
    <m/>
    <s v="PAGO INTERBANC AXA COLPATRIA S"/>
    <m/>
    <x v="0"/>
    <n v="14001696"/>
    <n v="3"/>
  </r>
  <r>
    <n v="4"/>
    <s v="SA"/>
    <s v="Pago Incap"/>
    <x v="3"/>
    <d v="2024-03-31T00:00:00"/>
    <s v="PAGO INCAP"/>
    <s v="O003"/>
    <m/>
    <n v="246"/>
    <s v="S"/>
    <n v="1533010002"/>
    <m/>
    <m/>
    <m/>
    <m/>
    <m/>
    <m/>
    <m/>
    <m/>
    <n v="-8704906"/>
    <s v="COP"/>
    <m/>
    <m/>
    <m/>
    <m/>
    <m/>
    <m/>
    <m/>
    <s v="O003001452"/>
    <m/>
    <m/>
    <n v="20240331"/>
    <m/>
    <m/>
    <n v="20240331"/>
    <n v="8600669427"/>
    <m/>
    <m/>
    <s v="PAGO INTERBANC CAJA DE COMPENS"/>
    <m/>
    <x v="4"/>
    <n v="8704906"/>
    <n v="3"/>
  </r>
  <r>
    <n v="4"/>
    <s v="SA"/>
    <s v="Pago Incap"/>
    <x v="3"/>
    <d v="2024-03-31T00:00:00"/>
    <s v="PAGO INCAP"/>
    <s v="O003"/>
    <m/>
    <n v="247"/>
    <s v="S"/>
    <n v="1533010002"/>
    <m/>
    <m/>
    <m/>
    <m/>
    <m/>
    <m/>
    <m/>
    <m/>
    <n v="-21704777"/>
    <s v="COP"/>
    <m/>
    <m/>
    <m/>
    <m/>
    <m/>
    <m/>
    <m/>
    <s v="O003001452"/>
    <m/>
    <m/>
    <n v="20240331"/>
    <m/>
    <m/>
    <n v="20240331"/>
    <n v="9001562642"/>
    <m/>
    <m/>
    <s v="PAGO DE PROV NUEVA EPS S A"/>
    <m/>
    <x v="5"/>
    <n v="21704777"/>
    <n v="3"/>
  </r>
  <r>
    <n v="4"/>
    <s v="SA"/>
    <s v="Pago Incap"/>
    <x v="3"/>
    <d v="2024-03-31T00:00:00"/>
    <s v="PAGO INCAP"/>
    <s v="O003"/>
    <m/>
    <n v="248"/>
    <s v="S"/>
    <n v="1533010002"/>
    <m/>
    <m/>
    <m/>
    <m/>
    <m/>
    <m/>
    <m/>
    <m/>
    <n v="-39857"/>
    <s v="COP"/>
    <m/>
    <m/>
    <m/>
    <m/>
    <m/>
    <m/>
    <m/>
    <s v="O003001452"/>
    <m/>
    <m/>
    <n v="20240331"/>
    <m/>
    <m/>
    <n v="20240331"/>
    <n v="9009142541"/>
    <m/>
    <m/>
    <s v="PAGO INTERBANC FUNDACION SALUD"/>
    <m/>
    <x v="0"/>
    <n v="39857"/>
    <n v="3"/>
  </r>
  <r>
    <n v="7"/>
    <s v="SA"/>
    <s v="Pago Incap"/>
    <x v="3"/>
    <d v="2024-03-31T00:00:00"/>
    <s v="PAGO INCAP"/>
    <s v="O003"/>
    <m/>
    <n v="257"/>
    <s v="S"/>
    <n v="1533010002"/>
    <m/>
    <m/>
    <m/>
    <m/>
    <m/>
    <m/>
    <m/>
    <m/>
    <n v="3623546"/>
    <s v="COP"/>
    <m/>
    <m/>
    <m/>
    <m/>
    <m/>
    <m/>
    <m/>
    <s v="O003001452"/>
    <m/>
    <m/>
    <n v="20240331"/>
    <m/>
    <m/>
    <n v="20240331"/>
    <n v="8000887022"/>
    <m/>
    <m/>
    <s v="EPS SURA"/>
    <m/>
    <x v="6"/>
    <n v="3623546"/>
    <n v="3"/>
  </r>
  <r>
    <n v="7"/>
    <s v="SA"/>
    <s v="Pago Incap"/>
    <x v="3"/>
    <d v="2024-03-31T00:00:00"/>
    <s v="PAGO INCAP"/>
    <s v="O003"/>
    <m/>
    <n v="258"/>
    <s v="S"/>
    <n v="1533010002"/>
    <m/>
    <m/>
    <m/>
    <m/>
    <m/>
    <m/>
    <m/>
    <m/>
    <n v="232000"/>
    <s v="COP"/>
    <m/>
    <m/>
    <m/>
    <m/>
    <m/>
    <m/>
    <m/>
    <s v="O003001452"/>
    <m/>
    <m/>
    <n v="20240331"/>
    <m/>
    <m/>
    <n v="20240331"/>
    <n v="8600669427"/>
    <m/>
    <m/>
    <s v="PAGO INTERBANC CAJA DE COMPENS"/>
    <m/>
    <x v="4"/>
    <n v="232000"/>
    <n v="3"/>
  </r>
  <r>
    <n v="7"/>
    <s v="SA"/>
    <s v="Pago Incap"/>
    <x v="3"/>
    <d v="2024-03-31T00:00:00"/>
    <s v="PAGO INCAP"/>
    <s v="O003"/>
    <m/>
    <n v="259"/>
    <s v="S"/>
    <n v="1533010002"/>
    <m/>
    <m/>
    <m/>
    <m/>
    <m/>
    <m/>
    <m/>
    <m/>
    <n v="256134"/>
    <s v="COP"/>
    <m/>
    <m/>
    <m/>
    <m/>
    <m/>
    <m/>
    <m/>
    <s v="O003001452"/>
    <m/>
    <m/>
    <n v="20240331"/>
    <m/>
    <m/>
    <n v="20240331"/>
    <n v="8600021839"/>
    <m/>
    <m/>
    <s v="PAGO INTERBANC AXA COLPATRIA S"/>
    <m/>
    <x v="0"/>
    <n v="256134"/>
    <n v="3"/>
  </r>
  <r>
    <n v="7"/>
    <s v="SA"/>
    <s v="Pago Incap"/>
    <x v="3"/>
    <d v="2024-03-31T00:00:00"/>
    <s v="PAGO INCAP"/>
    <s v="O003"/>
    <m/>
    <n v="260"/>
    <s v="S"/>
    <n v="1533010002"/>
    <m/>
    <m/>
    <m/>
    <m/>
    <m/>
    <m/>
    <m/>
    <m/>
    <n v="5998997"/>
    <s v="COP"/>
    <m/>
    <m/>
    <m/>
    <m/>
    <m/>
    <m/>
    <m/>
    <s v="O003001452"/>
    <m/>
    <m/>
    <n v="20240331"/>
    <m/>
    <m/>
    <n v="20240331"/>
    <n v="8903030935"/>
    <m/>
    <m/>
    <s v="COMFENALCO VALLE"/>
    <m/>
    <x v="0"/>
    <n v="5998997"/>
    <n v="3"/>
  </r>
  <r>
    <n v="2"/>
    <s v="SA"/>
    <s v="Pago Incap"/>
    <x v="4"/>
    <d v="2024-04-30T00:00:00"/>
    <s v="PAGO INCAP"/>
    <s v="O003"/>
    <m/>
    <n v="91"/>
    <s v="S"/>
    <n v="1533010002"/>
    <m/>
    <m/>
    <m/>
    <m/>
    <m/>
    <m/>
    <m/>
    <m/>
    <n v="-38885230"/>
    <s v="COP"/>
    <m/>
    <m/>
    <m/>
    <m/>
    <m/>
    <m/>
    <m/>
    <s v="O003001452"/>
    <m/>
    <m/>
    <n v="20240430"/>
    <m/>
    <m/>
    <n v="20240430"/>
    <n v="8000887022"/>
    <m/>
    <m/>
    <s v="PAGO DE PROV EPS SURAMERICAN"/>
    <m/>
    <x v="6"/>
    <n v="38885230"/>
    <n v="4"/>
  </r>
  <r>
    <n v="2"/>
    <s v="SA"/>
    <s v="Pago Incap"/>
    <x v="4"/>
    <d v="2024-04-30T00:00:00"/>
    <s v="PAGO INCAP"/>
    <s v="O003"/>
    <m/>
    <n v="92"/>
    <s v="S"/>
    <n v="1533010002"/>
    <m/>
    <m/>
    <m/>
    <m/>
    <m/>
    <m/>
    <m/>
    <m/>
    <n v="-28502131"/>
    <s v="COP"/>
    <m/>
    <m/>
    <m/>
    <m/>
    <m/>
    <m/>
    <m/>
    <s v="O003001452"/>
    <m/>
    <m/>
    <n v="20240430"/>
    <m/>
    <m/>
    <n v="20240430"/>
    <n v="8001309074"/>
    <m/>
    <m/>
    <s v="PAGO DE PROV SALUD TOTAL EPS"/>
    <m/>
    <x v="0"/>
    <n v="28502131"/>
    <n v="4"/>
  </r>
  <r>
    <n v="2"/>
    <s v="SA"/>
    <s v="Pago Incap"/>
    <x v="4"/>
    <d v="2024-04-30T00:00:00"/>
    <s v="PAGO INCAP"/>
    <s v="O003"/>
    <m/>
    <n v="93"/>
    <s v="S"/>
    <n v="1533010002"/>
    <m/>
    <m/>
    <m/>
    <m/>
    <m/>
    <m/>
    <m/>
    <m/>
    <n v="-2226672"/>
    <s v="COP"/>
    <m/>
    <m/>
    <m/>
    <m/>
    <m/>
    <m/>
    <m/>
    <s v="O003001452"/>
    <m/>
    <m/>
    <n v="20240430"/>
    <m/>
    <m/>
    <n v="20240430"/>
    <n v="8002492410"/>
    <m/>
    <m/>
    <s v="PAGO INTERBANC COOSALUD-ENTIDA"/>
    <m/>
    <x v="0"/>
    <n v="2226672"/>
    <n v="4"/>
  </r>
  <r>
    <n v="2"/>
    <s v="SA"/>
    <s v="Pago Incap"/>
    <x v="4"/>
    <d v="2024-04-30T00:00:00"/>
    <s v="PAGO INCAP"/>
    <s v="O003"/>
    <m/>
    <n v="94"/>
    <s v="S"/>
    <n v="1533010002"/>
    <m/>
    <m/>
    <m/>
    <m/>
    <m/>
    <m/>
    <m/>
    <m/>
    <n v="-32810713"/>
    <s v="COP"/>
    <m/>
    <m/>
    <m/>
    <m/>
    <m/>
    <m/>
    <m/>
    <s v="O003001452"/>
    <m/>
    <m/>
    <n v="20240430"/>
    <m/>
    <m/>
    <n v="20240430"/>
    <n v="8002514406"/>
    <m/>
    <m/>
    <s v="PAGO INTERBANC EPS SANITAS S A"/>
    <m/>
    <x v="1"/>
    <n v="32810713"/>
    <n v="4"/>
  </r>
  <r>
    <n v="2"/>
    <s v="SA"/>
    <s v="Pago Incap"/>
    <x v="4"/>
    <d v="2024-04-30T00:00:00"/>
    <s v="PAGO INCAP"/>
    <s v="O003"/>
    <m/>
    <n v="95"/>
    <s v="S"/>
    <n v="1533010002"/>
    <m/>
    <m/>
    <m/>
    <m/>
    <m/>
    <m/>
    <m/>
    <m/>
    <n v="-886770"/>
    <s v="COP"/>
    <m/>
    <m/>
    <m/>
    <m/>
    <m/>
    <m/>
    <m/>
    <s v="O003001452"/>
    <m/>
    <m/>
    <n v="20240430"/>
    <m/>
    <m/>
    <n v="20240430"/>
    <n v="8050011572"/>
    <m/>
    <m/>
    <s v="PAGO INTERBANC EPS  SOS S A"/>
    <m/>
    <x v="0"/>
    <n v="886770"/>
    <n v="4"/>
  </r>
  <r>
    <n v="2"/>
    <s v="SA"/>
    <s v="Pago Incap"/>
    <x v="4"/>
    <d v="2024-04-30T00:00:00"/>
    <s v="PAGO INCAP"/>
    <s v="O003"/>
    <m/>
    <n v="96"/>
    <s v="S"/>
    <n v="1533010002"/>
    <m/>
    <m/>
    <m/>
    <m/>
    <m/>
    <m/>
    <m/>
    <m/>
    <n v="-705335"/>
    <s v="COP"/>
    <m/>
    <m/>
    <m/>
    <m/>
    <m/>
    <m/>
    <m/>
    <s v="O003001452"/>
    <m/>
    <m/>
    <n v="20240430"/>
    <m/>
    <m/>
    <n v="20240430"/>
    <n v="8060083947"/>
    <m/>
    <m/>
    <s v="PAGO INTERBANC MUTUAL SER EPS"/>
    <m/>
    <x v="0"/>
    <n v="705335"/>
    <n v="4"/>
  </r>
  <r>
    <n v="2"/>
    <s v="SA"/>
    <s v="Pago Incap"/>
    <x v="4"/>
    <d v="2024-04-30T00:00:00"/>
    <s v="PAGO INCAP"/>
    <s v="O003"/>
    <m/>
    <n v="97"/>
    <s v="S"/>
    <n v="1533010002"/>
    <m/>
    <m/>
    <m/>
    <m/>
    <m/>
    <m/>
    <m/>
    <m/>
    <n v="-86668"/>
    <s v="COP"/>
    <m/>
    <m/>
    <m/>
    <m/>
    <m/>
    <m/>
    <m/>
    <s v="O003001452"/>
    <m/>
    <m/>
    <n v="20240430"/>
    <m/>
    <m/>
    <n v="20240430"/>
    <n v="8140003371"/>
    <m/>
    <m/>
    <s v="PAGO INTERBANC EMSSANAR ENTIDA"/>
    <m/>
    <x v="2"/>
    <n v="86668"/>
    <n v="4"/>
  </r>
  <r>
    <n v="2"/>
    <s v="SA"/>
    <s v="Pago Incap"/>
    <x v="4"/>
    <d v="2024-04-30T00:00:00"/>
    <s v="PAGO INCAP"/>
    <s v="O003"/>
    <m/>
    <n v="98"/>
    <s v="S"/>
    <n v="1533010002"/>
    <m/>
    <m/>
    <m/>
    <m/>
    <m/>
    <m/>
    <m/>
    <m/>
    <n v="-18386363"/>
    <s v="COP"/>
    <m/>
    <m/>
    <m/>
    <m/>
    <m/>
    <m/>
    <m/>
    <s v="O003001452"/>
    <m/>
    <m/>
    <n v="20240430"/>
    <m/>
    <m/>
    <n v="20240430"/>
    <n v="8300035647"/>
    <m/>
    <m/>
    <s v="PAGO INTERBANC EPS FAMISANAR S"/>
    <m/>
    <x v="3"/>
    <n v="18386363"/>
    <n v="4"/>
  </r>
  <r>
    <n v="2"/>
    <s v="SA"/>
    <s v="Pago Incap"/>
    <x v="4"/>
    <d v="2024-04-30T00:00:00"/>
    <s v="PAGO INCAP"/>
    <s v="O003"/>
    <m/>
    <n v="99"/>
    <s v="S"/>
    <n v="1533010002"/>
    <m/>
    <m/>
    <m/>
    <m/>
    <m/>
    <m/>
    <m/>
    <m/>
    <n v="-3620679"/>
    <s v="COP"/>
    <m/>
    <m/>
    <m/>
    <m/>
    <m/>
    <m/>
    <m/>
    <s v="O003001452"/>
    <m/>
    <m/>
    <n v="20240430"/>
    <m/>
    <m/>
    <n v="20240430"/>
    <n v="8301138310"/>
    <m/>
    <m/>
    <s v="PAGO DE PROV ALIANSALUD EPS"/>
    <m/>
    <x v="0"/>
    <n v="3620679"/>
    <n v="4"/>
  </r>
  <r>
    <n v="2"/>
    <s v="SA"/>
    <s v="Pago Incap"/>
    <x v="4"/>
    <d v="2024-04-30T00:00:00"/>
    <s v="PAGO INCAP"/>
    <s v="O003"/>
    <m/>
    <n v="100"/>
    <s v="S"/>
    <n v="1533010002"/>
    <m/>
    <m/>
    <m/>
    <m/>
    <m/>
    <m/>
    <m/>
    <m/>
    <n v="-7845825"/>
    <s v="COP"/>
    <m/>
    <m/>
    <m/>
    <m/>
    <m/>
    <m/>
    <m/>
    <s v="O003001452"/>
    <m/>
    <m/>
    <n v="20240430"/>
    <m/>
    <m/>
    <n v="20240430"/>
    <n v="8600021839"/>
    <m/>
    <m/>
    <s v="PAGO INTERBANC AXA COLPATRIA S"/>
    <m/>
    <x v="0"/>
    <n v="7845825"/>
    <n v="4"/>
  </r>
  <r>
    <n v="2"/>
    <s v="SA"/>
    <s v="Pago Incap"/>
    <x v="4"/>
    <d v="2024-04-30T00:00:00"/>
    <s v="PAGO INCAP"/>
    <s v="O003"/>
    <m/>
    <n v="101"/>
    <s v="S"/>
    <n v="1533010002"/>
    <m/>
    <m/>
    <m/>
    <m/>
    <m/>
    <m/>
    <m/>
    <m/>
    <n v="-8626224"/>
    <s v="COP"/>
    <m/>
    <m/>
    <m/>
    <m/>
    <m/>
    <m/>
    <m/>
    <s v="O003001452"/>
    <m/>
    <m/>
    <n v="20240430"/>
    <m/>
    <m/>
    <n v="20240430"/>
    <n v="8600669427"/>
    <m/>
    <m/>
    <s v="PAGO INTERBANC CAJA DE COMPENS"/>
    <m/>
    <x v="4"/>
    <n v="8626224"/>
    <n v="4"/>
  </r>
  <r>
    <n v="2"/>
    <s v="SA"/>
    <s v="Pago Incap"/>
    <x v="4"/>
    <d v="2024-04-30T00:00:00"/>
    <s v="PAGO INCAP"/>
    <s v="O003"/>
    <m/>
    <n v="102"/>
    <s v="S"/>
    <n v="1533010002"/>
    <m/>
    <m/>
    <m/>
    <m/>
    <m/>
    <m/>
    <m/>
    <m/>
    <n v="-19238721"/>
    <s v="COP"/>
    <m/>
    <m/>
    <m/>
    <m/>
    <m/>
    <m/>
    <m/>
    <s v="O003001452"/>
    <m/>
    <m/>
    <n v="20240430"/>
    <m/>
    <m/>
    <n v="20240430"/>
    <n v="8903030935"/>
    <m/>
    <m/>
    <s v="COMFENALCO VALLE"/>
    <m/>
    <x v="0"/>
    <n v="19238721"/>
    <n v="4"/>
  </r>
  <r>
    <n v="2"/>
    <s v="SA"/>
    <s v="Pago Incap"/>
    <x v="4"/>
    <d v="2024-04-30T00:00:00"/>
    <s v="PAGO INCAP"/>
    <s v="O003"/>
    <m/>
    <n v="103"/>
    <s v="S"/>
    <n v="1533010002"/>
    <m/>
    <m/>
    <m/>
    <m/>
    <m/>
    <m/>
    <m/>
    <m/>
    <n v="-18797583"/>
    <s v="COP"/>
    <m/>
    <m/>
    <m/>
    <m/>
    <m/>
    <m/>
    <m/>
    <s v="O003001452"/>
    <m/>
    <m/>
    <n v="20240430"/>
    <m/>
    <m/>
    <n v="20240430"/>
    <n v="9001562642"/>
    <m/>
    <m/>
    <s v="PAGO DE PROV NUEVA EPS S A"/>
    <m/>
    <x v="5"/>
    <n v="18797583"/>
    <n v="4"/>
  </r>
  <r>
    <n v="1"/>
    <s v="SA"/>
    <s v="Pago Incap"/>
    <x v="5"/>
    <d v="2024-05-31T00:00:00"/>
    <s v="PAGO INCAP"/>
    <s v="O003"/>
    <m/>
    <n v="66"/>
    <s v="S"/>
    <n v="1533010002"/>
    <m/>
    <m/>
    <m/>
    <m/>
    <m/>
    <m/>
    <m/>
    <m/>
    <n v="-16590832"/>
    <s v="COP"/>
    <m/>
    <m/>
    <m/>
    <m/>
    <m/>
    <m/>
    <m/>
    <s v="O003001452"/>
    <m/>
    <m/>
    <n v="20240531"/>
    <m/>
    <m/>
    <n v="20240531"/>
    <n v="8000887022"/>
    <m/>
    <m/>
    <s v="PAGO DE PROV EPS SURAMERICAN"/>
    <m/>
    <x v="6"/>
    <n v="16590832"/>
    <n v="5"/>
  </r>
  <r>
    <n v="1"/>
    <s v="SA"/>
    <s v="Pago Incap"/>
    <x v="5"/>
    <d v="2024-05-31T00:00:00"/>
    <s v="PAGO INCAP"/>
    <s v="O003"/>
    <m/>
    <n v="67"/>
    <s v="S"/>
    <n v="1533010002"/>
    <m/>
    <m/>
    <m/>
    <m/>
    <m/>
    <m/>
    <m/>
    <m/>
    <n v="-6757008"/>
    <s v="COP"/>
    <m/>
    <m/>
    <m/>
    <m/>
    <m/>
    <m/>
    <m/>
    <s v="O003001452"/>
    <m/>
    <m/>
    <n v="20240531"/>
    <m/>
    <m/>
    <n v="20240531"/>
    <n v="8001309074"/>
    <m/>
    <m/>
    <s v="PAGO DE PROV SALUD TOTAL EPS"/>
    <m/>
    <x v="0"/>
    <n v="6757008"/>
    <n v="5"/>
  </r>
  <r>
    <n v="1"/>
    <s v="SA"/>
    <s v="Pago Incap"/>
    <x v="5"/>
    <d v="2024-05-31T00:00:00"/>
    <s v="PAGO INCAP"/>
    <s v="O003"/>
    <m/>
    <n v="68"/>
    <s v="S"/>
    <n v="1533010002"/>
    <m/>
    <m/>
    <m/>
    <m/>
    <m/>
    <m/>
    <m/>
    <m/>
    <n v="-4278379"/>
    <s v="COP"/>
    <m/>
    <m/>
    <m/>
    <m/>
    <m/>
    <m/>
    <m/>
    <s v="O003001452"/>
    <m/>
    <m/>
    <n v="20240531"/>
    <m/>
    <m/>
    <n v="20240531"/>
    <n v="8002492410"/>
    <m/>
    <m/>
    <s v="PAGO INTERBANC COOSALUD-ENTIDA"/>
    <m/>
    <x v="0"/>
    <n v="4278379"/>
    <n v="5"/>
  </r>
  <r>
    <n v="1"/>
    <s v="SA"/>
    <s v="Pago Incap"/>
    <x v="5"/>
    <d v="2024-05-31T00:00:00"/>
    <s v="PAGO INCAP"/>
    <s v="O003"/>
    <m/>
    <n v="69"/>
    <s v="S"/>
    <n v="1533010002"/>
    <m/>
    <m/>
    <m/>
    <m/>
    <m/>
    <m/>
    <m/>
    <m/>
    <n v="-48757908"/>
    <s v="COP"/>
    <m/>
    <m/>
    <m/>
    <m/>
    <m/>
    <m/>
    <m/>
    <s v="O003001452"/>
    <m/>
    <m/>
    <n v="20240531"/>
    <m/>
    <m/>
    <n v="20240531"/>
    <n v="8002514406"/>
    <m/>
    <m/>
    <s v="PAGO INTERBANC EPS SANITAS S A"/>
    <m/>
    <x v="1"/>
    <n v="48757908"/>
    <n v="5"/>
  </r>
  <r>
    <n v="1"/>
    <s v="SA"/>
    <s v="Pago Incap"/>
    <x v="5"/>
    <d v="2024-05-31T00:00:00"/>
    <s v="PAGO INCAP"/>
    <s v="O003"/>
    <m/>
    <n v="70"/>
    <s v="S"/>
    <n v="1533010002"/>
    <m/>
    <m/>
    <m/>
    <m/>
    <m/>
    <m/>
    <m/>
    <m/>
    <n v="-4915334"/>
    <s v="COP"/>
    <m/>
    <m/>
    <m/>
    <m/>
    <m/>
    <m/>
    <m/>
    <s v="O003001452"/>
    <m/>
    <m/>
    <n v="20240531"/>
    <m/>
    <m/>
    <n v="20240531"/>
    <n v="8050011572"/>
    <m/>
    <m/>
    <s v="PAGO INTERBANC EPS  SOS S A"/>
    <m/>
    <x v="0"/>
    <n v="4915334"/>
    <n v="5"/>
  </r>
  <r>
    <n v="1"/>
    <s v="SA"/>
    <s v="Pago Incap"/>
    <x v="5"/>
    <d v="2024-05-31T00:00:00"/>
    <s v="PAGO INCAP"/>
    <s v="O003"/>
    <m/>
    <n v="71"/>
    <s v="S"/>
    <n v="1533010002"/>
    <m/>
    <m/>
    <m/>
    <m/>
    <m/>
    <m/>
    <m/>
    <m/>
    <n v="-43334"/>
    <s v="COP"/>
    <m/>
    <m/>
    <m/>
    <m/>
    <m/>
    <m/>
    <m/>
    <s v="O003001452"/>
    <m/>
    <m/>
    <n v="20240531"/>
    <m/>
    <m/>
    <n v="20240531"/>
    <n v="8060083947"/>
    <m/>
    <m/>
    <s v="PAGO DE PROV ASOCIACION MUTU"/>
    <m/>
    <x v="0"/>
    <n v="43334"/>
    <n v="5"/>
  </r>
  <r>
    <n v="1"/>
    <s v="SA"/>
    <s v="Pago Incap"/>
    <x v="5"/>
    <d v="2024-05-31T00:00:00"/>
    <s v="PAGO INCAP"/>
    <s v="O003"/>
    <m/>
    <n v="72"/>
    <s v="S"/>
    <n v="1533010002"/>
    <m/>
    <m/>
    <m/>
    <m/>
    <m/>
    <m/>
    <m/>
    <m/>
    <n v="-1560012"/>
    <s v="COP"/>
    <m/>
    <m/>
    <m/>
    <m/>
    <m/>
    <m/>
    <m/>
    <s v="O003001452"/>
    <m/>
    <m/>
    <n v="20240531"/>
    <m/>
    <m/>
    <n v="20240531"/>
    <n v="8060083947"/>
    <m/>
    <m/>
    <s v="PAGO INTERBANC MUTUAL SER EPS"/>
    <m/>
    <x v="0"/>
    <n v="1560012"/>
    <n v="5"/>
  </r>
  <r>
    <n v="1"/>
    <s v="SA"/>
    <s v="Pago Incap"/>
    <x v="5"/>
    <d v="2024-05-31T00:00:00"/>
    <s v="PAGO INCAP"/>
    <s v="O003"/>
    <m/>
    <n v="73"/>
    <s v="S"/>
    <n v="1533010002"/>
    <m/>
    <m/>
    <m/>
    <m/>
    <m/>
    <m/>
    <m/>
    <m/>
    <n v="-1473356"/>
    <s v="COP"/>
    <m/>
    <m/>
    <m/>
    <m/>
    <m/>
    <m/>
    <m/>
    <s v="O003001452"/>
    <m/>
    <m/>
    <n v="20240531"/>
    <m/>
    <m/>
    <n v="20240531"/>
    <n v="8140003371"/>
    <m/>
    <m/>
    <s v="PAGO INTERBANC EMSSANAR ENTIDA"/>
    <m/>
    <x v="2"/>
    <n v="1473356"/>
    <n v="5"/>
  </r>
  <r>
    <n v="1"/>
    <s v="SA"/>
    <s v="Pago Incap"/>
    <x v="5"/>
    <d v="2024-05-31T00:00:00"/>
    <s v="PAGO INCAP"/>
    <s v="O003"/>
    <m/>
    <n v="74"/>
    <s v="S"/>
    <n v="1533010002"/>
    <m/>
    <m/>
    <m/>
    <m/>
    <m/>
    <m/>
    <m/>
    <m/>
    <n v="-11480473"/>
    <s v="COP"/>
    <m/>
    <m/>
    <m/>
    <m/>
    <m/>
    <m/>
    <m/>
    <s v="O003001452"/>
    <m/>
    <m/>
    <n v="20240531"/>
    <m/>
    <m/>
    <n v="20240531"/>
    <n v="8300035647"/>
    <m/>
    <m/>
    <s v="PAGO INTERBANC EPS FAMISANAR S"/>
    <m/>
    <x v="3"/>
    <n v="11480473"/>
    <n v="5"/>
  </r>
  <r>
    <n v="1"/>
    <s v="SA"/>
    <s v="Pago Incap"/>
    <x v="5"/>
    <d v="2024-05-31T00:00:00"/>
    <s v="PAGO INCAP"/>
    <s v="O003"/>
    <m/>
    <n v="75"/>
    <s v="S"/>
    <n v="1533010002"/>
    <m/>
    <m/>
    <m/>
    <m/>
    <m/>
    <m/>
    <m/>
    <m/>
    <n v="-6094960"/>
    <s v="COP"/>
    <m/>
    <m/>
    <m/>
    <m/>
    <m/>
    <m/>
    <m/>
    <s v="O003001452"/>
    <m/>
    <m/>
    <n v="20240531"/>
    <m/>
    <m/>
    <n v="20240531"/>
    <n v="8301138310"/>
    <m/>
    <m/>
    <s v="PAGO DE PROV ALIANSALUD EPS"/>
    <m/>
    <x v="0"/>
    <n v="6094960"/>
    <n v="5"/>
  </r>
  <r>
    <n v="1"/>
    <s v="SA"/>
    <s v="Pago Incap"/>
    <x v="5"/>
    <d v="2024-05-31T00:00:00"/>
    <s v="PAGO INCAP"/>
    <s v="O003"/>
    <m/>
    <n v="76"/>
    <s v="S"/>
    <n v="1533010002"/>
    <m/>
    <m/>
    <m/>
    <m/>
    <m/>
    <m/>
    <m/>
    <m/>
    <n v="-20904576"/>
    <s v="COP"/>
    <m/>
    <m/>
    <m/>
    <m/>
    <m/>
    <m/>
    <m/>
    <s v="O003001452"/>
    <m/>
    <m/>
    <n v="20240531"/>
    <m/>
    <m/>
    <n v="20240531"/>
    <n v="8600021839"/>
    <m/>
    <m/>
    <s v="PAGO INTERBANC AXA COLPATRIA S"/>
    <m/>
    <x v="0"/>
    <n v="20904576"/>
    <n v="5"/>
  </r>
  <r>
    <n v="1"/>
    <s v="SA"/>
    <s v="Pago Incap"/>
    <x v="5"/>
    <d v="2024-05-31T00:00:00"/>
    <s v="PAGO INCAP"/>
    <s v="O003"/>
    <m/>
    <n v="77"/>
    <s v="S"/>
    <n v="1533010002"/>
    <m/>
    <m/>
    <m/>
    <m/>
    <m/>
    <m/>
    <m/>
    <m/>
    <n v="-4130041"/>
    <s v="COP"/>
    <m/>
    <m/>
    <m/>
    <m/>
    <m/>
    <m/>
    <m/>
    <s v="O003001452"/>
    <m/>
    <m/>
    <n v="20240531"/>
    <m/>
    <m/>
    <n v="20240531"/>
    <n v="8600669427"/>
    <m/>
    <m/>
    <s v="PAGO INTERBANC CAJA DE COMPENS"/>
    <m/>
    <x v="4"/>
    <n v="4130041"/>
    <n v="5"/>
  </r>
  <r>
    <n v="1"/>
    <s v="SA"/>
    <s v="Pago Incap"/>
    <x v="5"/>
    <d v="2024-05-31T00:00:00"/>
    <s v="PAGO INCAP"/>
    <s v="O003"/>
    <m/>
    <n v="78"/>
    <s v="S"/>
    <n v="1533010002"/>
    <m/>
    <m/>
    <m/>
    <m/>
    <m/>
    <m/>
    <m/>
    <m/>
    <n v="-28733967"/>
    <s v="COP"/>
    <m/>
    <m/>
    <m/>
    <m/>
    <m/>
    <m/>
    <m/>
    <s v="O003001452"/>
    <m/>
    <m/>
    <n v="20240531"/>
    <m/>
    <m/>
    <n v="20240531"/>
    <n v="9001562642"/>
    <m/>
    <m/>
    <s v="PAGO DE PROV NUEVA EPS S A"/>
    <m/>
    <x v="5"/>
    <n v="28733967"/>
    <n v="5"/>
  </r>
  <r>
    <n v="1"/>
    <s v="SA"/>
    <s v="Pago Incap"/>
    <x v="6"/>
    <d v="2024-06-30T00:00:00"/>
    <s v="PAGO INCAP"/>
    <s v="O003"/>
    <m/>
    <n v="54"/>
    <s v="S"/>
    <n v="1533010002"/>
    <m/>
    <m/>
    <m/>
    <m/>
    <m/>
    <m/>
    <m/>
    <m/>
    <n v="-36563373"/>
    <s v="COP"/>
    <m/>
    <m/>
    <m/>
    <m/>
    <m/>
    <m/>
    <m/>
    <s v="O003001452"/>
    <m/>
    <m/>
    <n v="20240630"/>
    <m/>
    <m/>
    <n v="20240630"/>
    <n v="8000887022"/>
    <m/>
    <m/>
    <s v="PAGO DE PROV EPS SURAMERICAN"/>
    <m/>
    <x v="6"/>
    <n v="36563373"/>
    <n v="6"/>
  </r>
  <r>
    <n v="1"/>
    <s v="SA"/>
    <s v="Pago Incap"/>
    <x v="6"/>
    <d v="2024-06-30T00:00:00"/>
    <s v="PAGO INCAP"/>
    <s v="O003"/>
    <m/>
    <n v="55"/>
    <s v="S"/>
    <n v="1533010002"/>
    <m/>
    <m/>
    <m/>
    <m/>
    <m/>
    <m/>
    <m/>
    <m/>
    <n v="-1346004"/>
    <s v="COP"/>
    <m/>
    <m/>
    <m/>
    <m/>
    <m/>
    <m/>
    <m/>
    <s v="O003001452"/>
    <m/>
    <m/>
    <n v="20240630"/>
    <m/>
    <m/>
    <n v="20240630"/>
    <n v="8001309074"/>
    <m/>
    <m/>
    <s v="PAGO DE PROV SALUD TOTAL EPS"/>
    <m/>
    <x v="0"/>
    <n v="1346004"/>
    <n v="6"/>
  </r>
  <r>
    <n v="1"/>
    <s v="SA"/>
    <s v="Pago Incap"/>
    <x v="6"/>
    <d v="2024-06-30T00:00:00"/>
    <s v="PAGO INCAP"/>
    <s v="O003"/>
    <m/>
    <n v="56"/>
    <s v="S"/>
    <n v="1533010002"/>
    <m/>
    <m/>
    <m/>
    <m/>
    <m/>
    <m/>
    <m/>
    <m/>
    <n v="-1690002"/>
    <s v="COP"/>
    <m/>
    <m/>
    <m/>
    <m/>
    <m/>
    <m/>
    <m/>
    <s v="O003001452"/>
    <m/>
    <m/>
    <n v="20240630"/>
    <m/>
    <m/>
    <n v="20240630"/>
    <n v="8002492410"/>
    <m/>
    <m/>
    <s v="PAGO INTERBANC COOSALUD-ENTIDA"/>
    <m/>
    <x v="0"/>
    <n v="1690002"/>
    <n v="6"/>
  </r>
  <r>
    <n v="1"/>
    <s v="SA"/>
    <s v="Pago Incap"/>
    <x v="6"/>
    <d v="2024-06-30T00:00:00"/>
    <s v="PAGO INCAP"/>
    <s v="O003"/>
    <m/>
    <n v="57"/>
    <s v="S"/>
    <n v="1533010002"/>
    <m/>
    <m/>
    <m/>
    <m/>
    <m/>
    <m/>
    <m/>
    <m/>
    <n v="-73300637"/>
    <s v="COP"/>
    <m/>
    <m/>
    <m/>
    <m/>
    <m/>
    <m/>
    <m/>
    <s v="O003001452"/>
    <m/>
    <m/>
    <n v="20240630"/>
    <m/>
    <m/>
    <n v="20240630"/>
    <n v="8002514406"/>
    <m/>
    <m/>
    <s v="PAGO INTERBANC EPS SANITAS S A"/>
    <m/>
    <x v="1"/>
    <n v="73300637"/>
    <n v="6"/>
  </r>
  <r>
    <n v="1"/>
    <s v="SA"/>
    <s v="Pago Incap"/>
    <x v="6"/>
    <d v="2024-06-30T00:00:00"/>
    <s v="PAGO INCAP"/>
    <s v="O003"/>
    <m/>
    <n v="58"/>
    <s v="S"/>
    <n v="1533010002"/>
    <m/>
    <m/>
    <m/>
    <m/>
    <m/>
    <m/>
    <m/>
    <m/>
    <n v="-140871"/>
    <s v="COP"/>
    <m/>
    <m/>
    <m/>
    <m/>
    <m/>
    <m/>
    <m/>
    <s v="O003001452"/>
    <m/>
    <m/>
    <n v="20240630"/>
    <m/>
    <m/>
    <n v="20240630"/>
    <n v="8050011572"/>
    <m/>
    <m/>
    <s v="PAGO INTERBANC EPS  SOS S A"/>
    <m/>
    <x v="0"/>
    <n v="140871"/>
    <n v="6"/>
  </r>
  <r>
    <n v="1"/>
    <s v="SA"/>
    <s v="Pago Incap"/>
    <x v="6"/>
    <d v="2024-06-30T00:00:00"/>
    <s v="PAGO INCAP"/>
    <s v="O003"/>
    <m/>
    <n v="59"/>
    <s v="S"/>
    <n v="1533010002"/>
    <m/>
    <m/>
    <m/>
    <m/>
    <m/>
    <m/>
    <m/>
    <m/>
    <n v="-130000"/>
    <s v="COP"/>
    <m/>
    <m/>
    <m/>
    <m/>
    <m/>
    <m/>
    <m/>
    <s v="O003001452"/>
    <m/>
    <m/>
    <n v="20240630"/>
    <m/>
    <m/>
    <n v="20240630"/>
    <n v="8060083947"/>
    <m/>
    <m/>
    <s v="PAGO DE PROV ASOCIACION MUTU"/>
    <m/>
    <x v="0"/>
    <n v="130000"/>
    <n v="6"/>
  </r>
  <r>
    <n v="1"/>
    <s v="SA"/>
    <s v="Pago Incap"/>
    <x v="6"/>
    <d v="2024-06-30T00:00:00"/>
    <s v="PAGO INCAP"/>
    <s v="O003"/>
    <m/>
    <n v="60"/>
    <s v="S"/>
    <n v="1533010002"/>
    <m/>
    <m/>
    <m/>
    <m/>
    <m/>
    <m/>
    <m/>
    <m/>
    <n v="-323334"/>
    <s v="COP"/>
    <m/>
    <m/>
    <m/>
    <m/>
    <m/>
    <m/>
    <m/>
    <s v="O003001452"/>
    <m/>
    <m/>
    <n v="20240630"/>
    <m/>
    <m/>
    <n v="20240630"/>
    <n v="8060083947"/>
    <m/>
    <m/>
    <s v="PAGO INTERBANC MUTUAL SER EPS"/>
    <m/>
    <x v="0"/>
    <n v="323334"/>
    <n v="6"/>
  </r>
  <r>
    <n v="1"/>
    <s v="SA"/>
    <s v="Pago Incap"/>
    <x v="6"/>
    <d v="2024-06-30T00:00:00"/>
    <s v="PAGO INCAP"/>
    <s v="O003"/>
    <m/>
    <n v="61"/>
    <s v="S"/>
    <n v="1533010002"/>
    <m/>
    <m/>
    <m/>
    <m/>
    <m/>
    <m/>
    <m/>
    <m/>
    <n v="-216670"/>
    <s v="COP"/>
    <m/>
    <m/>
    <m/>
    <m/>
    <m/>
    <m/>
    <m/>
    <s v="O003001452"/>
    <m/>
    <m/>
    <n v="20240630"/>
    <m/>
    <m/>
    <n v="20240630"/>
    <n v="8140003371"/>
    <m/>
    <m/>
    <s v="PAGO INTERBANC EMSSANAR EMPRES"/>
    <m/>
    <x v="2"/>
    <n v="216670"/>
    <n v="6"/>
  </r>
  <r>
    <n v="1"/>
    <s v="SA"/>
    <s v="Pago Incap"/>
    <x v="6"/>
    <d v="2024-06-30T00:00:00"/>
    <s v="PAGO INCAP"/>
    <s v="O003"/>
    <m/>
    <n v="62"/>
    <s v="S"/>
    <n v="1533010002"/>
    <m/>
    <m/>
    <m/>
    <m/>
    <m/>
    <m/>
    <m/>
    <m/>
    <n v="-13305834"/>
    <s v="COP"/>
    <m/>
    <m/>
    <m/>
    <m/>
    <m/>
    <m/>
    <m/>
    <s v="O003001452"/>
    <m/>
    <m/>
    <n v="20240630"/>
    <m/>
    <m/>
    <n v="20240630"/>
    <n v="8300035647"/>
    <m/>
    <m/>
    <s v="PAGO INTERBANC EPS FAMISANAR S"/>
    <m/>
    <x v="3"/>
    <n v="13305834"/>
    <n v="6"/>
  </r>
  <r>
    <n v="1"/>
    <s v="SA"/>
    <s v="Pago Incap"/>
    <x v="6"/>
    <d v="2024-06-30T00:00:00"/>
    <s v="PAGO INCAP"/>
    <s v="O003"/>
    <m/>
    <n v="63"/>
    <s v="S"/>
    <n v="1533010002"/>
    <m/>
    <m/>
    <m/>
    <m/>
    <m/>
    <m/>
    <m/>
    <m/>
    <n v="-5643423"/>
    <s v="COP"/>
    <m/>
    <m/>
    <m/>
    <m/>
    <m/>
    <m/>
    <m/>
    <s v="O003001452"/>
    <m/>
    <m/>
    <n v="20240630"/>
    <m/>
    <m/>
    <n v="20240630"/>
    <n v="8301138310"/>
    <m/>
    <m/>
    <s v="PAGO DE PROV ALIANSALUD EPS"/>
    <m/>
    <x v="0"/>
    <n v="5643423"/>
    <n v="6"/>
  </r>
  <r>
    <n v="1"/>
    <s v="SA"/>
    <s v="Pago Incap"/>
    <x v="6"/>
    <d v="2024-06-30T00:00:00"/>
    <s v="PAGO INCAP"/>
    <s v="O003"/>
    <m/>
    <n v="64"/>
    <s v="S"/>
    <n v="1533010002"/>
    <m/>
    <m/>
    <m/>
    <m/>
    <m/>
    <m/>
    <m/>
    <m/>
    <n v="-8352907"/>
    <s v="COP"/>
    <m/>
    <m/>
    <m/>
    <m/>
    <m/>
    <m/>
    <m/>
    <s v="O003001452"/>
    <m/>
    <m/>
    <n v="20240630"/>
    <m/>
    <m/>
    <n v="20240630"/>
    <n v="8600021839"/>
    <m/>
    <m/>
    <s v="PAGO INTERBANC AXA COLPATRIA S"/>
    <m/>
    <x v="0"/>
    <n v="8352907"/>
    <n v="6"/>
  </r>
  <r>
    <n v="1"/>
    <s v="SA"/>
    <s v="Pago Incap"/>
    <x v="6"/>
    <d v="2024-06-30T00:00:00"/>
    <s v="PAGO INCAP"/>
    <s v="O003"/>
    <m/>
    <n v="65"/>
    <s v="S"/>
    <n v="1533010002"/>
    <m/>
    <m/>
    <m/>
    <m/>
    <m/>
    <m/>
    <m/>
    <m/>
    <n v="-2956030"/>
    <s v="COP"/>
    <m/>
    <m/>
    <m/>
    <m/>
    <m/>
    <m/>
    <m/>
    <s v="O003001452"/>
    <m/>
    <m/>
    <n v="20240630"/>
    <m/>
    <m/>
    <n v="20240630"/>
    <n v="8600669427"/>
    <m/>
    <m/>
    <s v="PAGO INTERBANC CAJA DE COMPENS"/>
    <m/>
    <x v="4"/>
    <n v="2956030"/>
    <n v="6"/>
  </r>
  <r>
    <n v="1"/>
    <s v="SA"/>
    <s v="Pago Incap"/>
    <x v="6"/>
    <d v="2024-06-30T00:00:00"/>
    <s v="PAGO INCAP"/>
    <s v="O003"/>
    <m/>
    <n v="66"/>
    <s v="S"/>
    <n v="1533010002"/>
    <m/>
    <m/>
    <m/>
    <m/>
    <m/>
    <m/>
    <m/>
    <m/>
    <n v="-39516027"/>
    <s v="COP"/>
    <m/>
    <m/>
    <m/>
    <m/>
    <m/>
    <m/>
    <m/>
    <s v="O003001452"/>
    <m/>
    <m/>
    <n v="20240630"/>
    <m/>
    <m/>
    <n v="20240630"/>
    <n v="9001562642"/>
    <m/>
    <m/>
    <s v="PAGO DE PROV NUEVA EPS S A"/>
    <m/>
    <x v="5"/>
    <n v="39516027"/>
    <n v="6"/>
  </r>
  <r>
    <n v="1"/>
    <s v="SA"/>
    <s v="Pago Incap"/>
    <x v="7"/>
    <d v="2024-07-31T00:00:00"/>
    <s v="PAGO INCAP"/>
    <s v="O003"/>
    <m/>
    <n v="57"/>
    <s v="S"/>
    <n v="1533010002"/>
    <m/>
    <m/>
    <m/>
    <m/>
    <m/>
    <m/>
    <m/>
    <m/>
    <n v="-38074012"/>
    <s v="COP"/>
    <m/>
    <m/>
    <m/>
    <m/>
    <m/>
    <m/>
    <m/>
    <s v="O003001452"/>
    <m/>
    <m/>
    <n v="20240731"/>
    <m/>
    <m/>
    <n v="20240731"/>
    <n v="8000887022"/>
    <m/>
    <m/>
    <s v="PAGO DE PROV EPS SURAMERICAN"/>
    <m/>
    <x v="6"/>
    <n v="38074012"/>
    <n v="7"/>
  </r>
  <r>
    <n v="1"/>
    <s v="SA"/>
    <s v="Pago Incap"/>
    <x v="7"/>
    <d v="2024-07-31T00:00:00"/>
    <s v="PAGO INCAP"/>
    <s v="O003"/>
    <m/>
    <n v="58"/>
    <s v="S"/>
    <n v="1533010002"/>
    <m/>
    <m/>
    <m/>
    <m/>
    <m/>
    <m/>
    <m/>
    <m/>
    <n v="-12766756"/>
    <s v="COP"/>
    <m/>
    <m/>
    <m/>
    <m/>
    <m/>
    <m/>
    <m/>
    <s v="O003001452"/>
    <m/>
    <m/>
    <n v="20240731"/>
    <m/>
    <m/>
    <n v="20240731"/>
    <n v="8001309074"/>
    <m/>
    <m/>
    <s v="PAGO DE PROV SALUD TOTAL EPS"/>
    <m/>
    <x v="0"/>
    <n v="12766756"/>
    <n v="7"/>
  </r>
  <r>
    <n v="1"/>
    <s v="SA"/>
    <s v="Pago Incap"/>
    <x v="7"/>
    <d v="2024-07-31T00:00:00"/>
    <s v="PAGO INCAP"/>
    <s v="O003"/>
    <m/>
    <n v="59"/>
    <s v="S"/>
    <n v="1533010002"/>
    <m/>
    <m/>
    <m/>
    <m/>
    <m/>
    <m/>
    <m/>
    <m/>
    <n v="-2296669"/>
    <s v="COP"/>
    <m/>
    <m/>
    <m/>
    <m/>
    <m/>
    <m/>
    <m/>
    <s v="O003001452"/>
    <m/>
    <m/>
    <n v="20240731"/>
    <m/>
    <m/>
    <n v="20240731"/>
    <n v="8002492410"/>
    <m/>
    <m/>
    <s v="PAGO INTERBANC COOSALUD-ENTIDA"/>
    <m/>
    <x v="0"/>
    <n v="2296669"/>
    <n v="7"/>
  </r>
  <r>
    <n v="1"/>
    <s v="SA"/>
    <s v="Pago Incap"/>
    <x v="7"/>
    <d v="2024-07-31T00:00:00"/>
    <s v="PAGO INCAP"/>
    <s v="O003"/>
    <m/>
    <n v="60"/>
    <s v="S"/>
    <n v="1533010002"/>
    <m/>
    <m/>
    <m/>
    <m/>
    <m/>
    <m/>
    <m/>
    <m/>
    <n v="-28671155"/>
    <s v="COP"/>
    <m/>
    <m/>
    <m/>
    <m/>
    <m/>
    <m/>
    <m/>
    <s v="O003001452"/>
    <m/>
    <m/>
    <n v="20240731"/>
    <m/>
    <m/>
    <n v="20240731"/>
    <n v="8002514406"/>
    <m/>
    <m/>
    <s v="PAGO INTERBANC EPS SANITAS S A"/>
    <m/>
    <x v="1"/>
    <n v="28671155"/>
    <n v="7"/>
  </r>
  <r>
    <n v="1"/>
    <s v="SA"/>
    <s v="Pago Incap"/>
    <x v="7"/>
    <d v="2024-07-31T00:00:00"/>
    <s v="PAGO INCAP"/>
    <s v="O003"/>
    <m/>
    <n v="61"/>
    <s v="S"/>
    <n v="1533010002"/>
    <m/>
    <m/>
    <m/>
    <m/>
    <m/>
    <m/>
    <m/>
    <m/>
    <n v="-362973"/>
    <s v="COP"/>
    <m/>
    <m/>
    <m/>
    <m/>
    <m/>
    <m/>
    <m/>
    <s v="O003001452"/>
    <m/>
    <m/>
    <n v="20240731"/>
    <m/>
    <m/>
    <n v="20240731"/>
    <n v="8050011572"/>
    <m/>
    <m/>
    <s v="PAGO INTERBANC EPS  SOS S A"/>
    <m/>
    <x v="0"/>
    <n v="362973"/>
    <n v="7"/>
  </r>
  <r>
    <n v="1"/>
    <s v="SA"/>
    <s v="Pago Incap"/>
    <x v="7"/>
    <d v="2024-07-31T00:00:00"/>
    <s v="PAGO INCAP"/>
    <s v="O003"/>
    <m/>
    <n v="62"/>
    <s v="S"/>
    <n v="1533010002"/>
    <m/>
    <m/>
    <m/>
    <m/>
    <m/>
    <m/>
    <m/>
    <m/>
    <n v="-866680"/>
    <s v="COP"/>
    <m/>
    <m/>
    <m/>
    <m/>
    <m/>
    <m/>
    <m/>
    <s v="O003001452"/>
    <m/>
    <m/>
    <n v="20240731"/>
    <m/>
    <m/>
    <n v="20240731"/>
    <n v="8140003371"/>
    <m/>
    <m/>
    <s v="PAGO INTERBANC EMSSANAR EMPRES"/>
    <m/>
    <x v="2"/>
    <n v="866680"/>
    <n v="7"/>
  </r>
  <r>
    <n v="1"/>
    <s v="SA"/>
    <s v="Pago Incap"/>
    <x v="7"/>
    <d v="2024-07-31T00:00:00"/>
    <s v="PAGO INCAP"/>
    <s v="O003"/>
    <m/>
    <n v="63"/>
    <s v="S"/>
    <n v="1533010002"/>
    <m/>
    <m/>
    <m/>
    <m/>
    <m/>
    <m/>
    <m/>
    <m/>
    <n v="-3410899"/>
    <s v="COP"/>
    <m/>
    <m/>
    <m/>
    <m/>
    <m/>
    <m/>
    <m/>
    <s v="O003001452"/>
    <m/>
    <m/>
    <n v="20240731"/>
    <m/>
    <m/>
    <n v="20240731"/>
    <n v="8301138310"/>
    <m/>
    <m/>
    <s v="PAGO DE PROV ALIANSALUD EPS"/>
    <m/>
    <x v="0"/>
    <n v="3410899"/>
    <n v="7"/>
  </r>
  <r>
    <n v="1"/>
    <s v="SA"/>
    <s v="Pago Incap"/>
    <x v="7"/>
    <d v="2024-07-31T00:00:00"/>
    <s v="PAGO INCAP"/>
    <s v="O003"/>
    <m/>
    <n v="64"/>
    <s v="S"/>
    <n v="1533010002"/>
    <m/>
    <m/>
    <m/>
    <m/>
    <m/>
    <m/>
    <m/>
    <m/>
    <n v="-10504478"/>
    <s v="COP"/>
    <m/>
    <m/>
    <m/>
    <m/>
    <m/>
    <m/>
    <m/>
    <s v="O003001452"/>
    <m/>
    <m/>
    <n v="20240731"/>
    <m/>
    <m/>
    <n v="20240731"/>
    <n v="8600021839"/>
    <m/>
    <m/>
    <s v="PAGO INTERBANC AXA COLPATRIA S"/>
    <m/>
    <x v="0"/>
    <n v="10504478"/>
    <n v="7"/>
  </r>
  <r>
    <n v="1"/>
    <s v="SA"/>
    <s v="Pago Incap"/>
    <x v="7"/>
    <d v="2024-07-31T00:00:00"/>
    <s v="PAGO INCAP"/>
    <s v="O003"/>
    <m/>
    <n v="65"/>
    <s v="S"/>
    <n v="1533010002"/>
    <m/>
    <m/>
    <m/>
    <m/>
    <m/>
    <m/>
    <m/>
    <m/>
    <n v="-10427008"/>
    <s v="COP"/>
    <m/>
    <m/>
    <m/>
    <m/>
    <m/>
    <m/>
    <m/>
    <s v="O003001452"/>
    <m/>
    <m/>
    <n v="20240731"/>
    <m/>
    <m/>
    <n v="20240731"/>
    <n v="8600669427"/>
    <m/>
    <m/>
    <s v="PAGO INTERBANC CAJA DE COMPENS"/>
    <m/>
    <x v="4"/>
    <n v="10427008"/>
    <n v="7"/>
  </r>
  <r>
    <n v="1"/>
    <s v="SA"/>
    <s v="Pago Incap"/>
    <x v="7"/>
    <d v="2024-07-31T00:00:00"/>
    <s v="PAGO INCAP"/>
    <s v="O003"/>
    <m/>
    <n v="66"/>
    <s v="S"/>
    <n v="1533010002"/>
    <m/>
    <m/>
    <m/>
    <m/>
    <m/>
    <m/>
    <m/>
    <m/>
    <n v="-12119203"/>
    <s v="COP"/>
    <m/>
    <m/>
    <m/>
    <m/>
    <m/>
    <m/>
    <m/>
    <s v="O003001452"/>
    <m/>
    <m/>
    <n v="20240731"/>
    <m/>
    <m/>
    <n v="20240731"/>
    <n v="9001562642"/>
    <m/>
    <m/>
    <s v="PAGO DE PROV NUEVA EPS S A"/>
    <m/>
    <x v="5"/>
    <n v="12119203"/>
    <n v="7"/>
  </r>
  <r>
    <n v="1"/>
    <s v="SA"/>
    <s v="Pago Incap"/>
    <x v="7"/>
    <d v="2024-07-31T00:00:00"/>
    <s v="PAGO INCAP"/>
    <s v="O003"/>
    <m/>
    <n v="67"/>
    <s v="S"/>
    <n v="1533010002"/>
    <m/>
    <m/>
    <m/>
    <m/>
    <m/>
    <m/>
    <m/>
    <m/>
    <n v="-812000"/>
    <s v="COP"/>
    <m/>
    <m/>
    <m/>
    <m/>
    <m/>
    <m/>
    <m/>
    <s v="O003001452"/>
    <m/>
    <m/>
    <n v="20240731"/>
    <m/>
    <m/>
    <n v="20240731"/>
    <n v="9002983729"/>
    <m/>
    <m/>
    <s v="PAGO DE PROV CAPITAL SALUD E"/>
    <m/>
    <x v="0"/>
    <n v="812000"/>
    <n v="7"/>
  </r>
  <r>
    <n v="1"/>
    <s v="SA"/>
    <s v="Pago Incap"/>
    <x v="7"/>
    <d v="2024-07-31T00:00:00"/>
    <s v="PAGO INCAP"/>
    <s v="O003"/>
    <m/>
    <n v="68"/>
    <s v="S"/>
    <n v="1533010002"/>
    <m/>
    <m/>
    <m/>
    <m/>
    <m/>
    <m/>
    <m/>
    <m/>
    <n v="-43334"/>
    <s v="COP"/>
    <m/>
    <m/>
    <m/>
    <m/>
    <m/>
    <m/>
    <m/>
    <s v="O003001452"/>
    <m/>
    <m/>
    <n v="20240731"/>
    <m/>
    <m/>
    <n v="20240731"/>
    <n v="9006043500"/>
    <m/>
    <m/>
    <s v="PAGO DE PROV AMA EPS S.A.S"/>
    <m/>
    <x v="0"/>
    <n v="43334"/>
    <n v="7"/>
  </r>
  <r>
    <n v="1"/>
    <s v="SA"/>
    <s v="Pago Incap"/>
    <x v="8"/>
    <d v="2024-08-31T00:00:00"/>
    <s v="PAGO INCAP"/>
    <s v="O003"/>
    <m/>
    <n v="51"/>
    <s v="S"/>
    <n v="1533010002"/>
    <m/>
    <m/>
    <m/>
    <m/>
    <m/>
    <m/>
    <m/>
    <m/>
    <n v="-53941400"/>
    <s v="COP"/>
    <m/>
    <m/>
    <m/>
    <m/>
    <m/>
    <m/>
    <m/>
    <s v="O003001452"/>
    <m/>
    <m/>
    <n v="20240831"/>
    <m/>
    <m/>
    <n v="20240831"/>
    <n v="8000887022"/>
    <m/>
    <m/>
    <s v="PAGO DE PROV EPS SURAMERICAN"/>
    <m/>
    <x v="6"/>
    <n v="53941400"/>
    <n v="8"/>
  </r>
  <r>
    <n v="1"/>
    <s v="SA"/>
    <s v="Pago Incap"/>
    <x v="8"/>
    <d v="2024-08-31T00:00:00"/>
    <s v="PAGO INCAP"/>
    <s v="O003"/>
    <m/>
    <n v="52"/>
    <s v="S"/>
    <n v="1533010002"/>
    <m/>
    <m/>
    <m/>
    <m/>
    <m/>
    <m/>
    <m/>
    <m/>
    <n v="-2598016"/>
    <s v="COP"/>
    <m/>
    <m/>
    <m/>
    <m/>
    <m/>
    <m/>
    <m/>
    <s v="O003001452"/>
    <m/>
    <m/>
    <n v="20240831"/>
    <m/>
    <m/>
    <n v="20240831"/>
    <n v="8001309074"/>
    <m/>
    <m/>
    <s v="PAGO DE PROV SALUD TOTAL EPS"/>
    <m/>
    <x v="0"/>
    <n v="2598016"/>
    <n v="8"/>
  </r>
  <r>
    <n v="1"/>
    <s v="SA"/>
    <s v="Pago Incap"/>
    <x v="8"/>
    <d v="2024-08-31T00:00:00"/>
    <s v="PAGO INCAP"/>
    <s v="O003"/>
    <m/>
    <n v="53"/>
    <s v="S"/>
    <n v="1533010002"/>
    <m/>
    <m/>
    <m/>
    <m/>
    <m/>
    <m/>
    <m/>
    <m/>
    <n v="-650000"/>
    <s v="COP"/>
    <m/>
    <m/>
    <m/>
    <m/>
    <m/>
    <m/>
    <m/>
    <s v="O003001452"/>
    <m/>
    <m/>
    <n v="20240831"/>
    <m/>
    <m/>
    <n v="20240831"/>
    <n v="8002492410"/>
    <m/>
    <m/>
    <s v="PAGO INTERBANC COOSALUD-ENTIDA"/>
    <m/>
    <x v="0"/>
    <n v="650000"/>
    <n v="8"/>
  </r>
  <r>
    <n v="1"/>
    <s v="SA"/>
    <s v="Pago Incap"/>
    <x v="8"/>
    <d v="2024-08-31T00:00:00"/>
    <s v="PAGO INCAP"/>
    <s v="O003"/>
    <m/>
    <n v="54"/>
    <s v="S"/>
    <n v="1533010002"/>
    <m/>
    <m/>
    <m/>
    <m/>
    <m/>
    <m/>
    <m/>
    <m/>
    <n v="-39791220"/>
    <s v="COP"/>
    <m/>
    <m/>
    <m/>
    <m/>
    <m/>
    <m/>
    <m/>
    <s v="O003001452"/>
    <m/>
    <m/>
    <n v="20240831"/>
    <m/>
    <m/>
    <n v="20240831"/>
    <n v="8002514406"/>
    <m/>
    <m/>
    <s v="PAGO INTERBANC EPS SANITAS S A"/>
    <m/>
    <x v="1"/>
    <n v="39791220"/>
    <n v="8"/>
  </r>
  <r>
    <n v="1"/>
    <s v="SA"/>
    <s v="Pago Incap"/>
    <x v="8"/>
    <d v="2024-08-31T00:00:00"/>
    <s v="PAGO INCAP"/>
    <s v="O003"/>
    <m/>
    <n v="55"/>
    <s v="S"/>
    <n v="1533010002"/>
    <m/>
    <m/>
    <m/>
    <m/>
    <m/>
    <m/>
    <m/>
    <m/>
    <n v="-173334"/>
    <s v="COP"/>
    <m/>
    <m/>
    <m/>
    <m/>
    <m/>
    <m/>
    <m/>
    <s v="O003001452"/>
    <m/>
    <m/>
    <n v="20240831"/>
    <m/>
    <m/>
    <n v="20240831"/>
    <n v="8060083947"/>
    <m/>
    <m/>
    <s v="PAGO INTERBANC MUTUAL SER EPS"/>
    <m/>
    <x v="0"/>
    <n v="173334"/>
    <n v="8"/>
  </r>
  <r>
    <n v="1"/>
    <s v="SA"/>
    <s v="Pago Incap"/>
    <x v="8"/>
    <d v="2024-08-31T00:00:00"/>
    <s v="PAGO INCAP"/>
    <s v="O003"/>
    <m/>
    <n v="56"/>
    <s v="S"/>
    <n v="1533010002"/>
    <m/>
    <m/>
    <m/>
    <m/>
    <m/>
    <m/>
    <m/>
    <m/>
    <n v="-921704"/>
    <s v="COP"/>
    <m/>
    <m/>
    <m/>
    <m/>
    <m/>
    <m/>
    <m/>
    <s v="O003001452"/>
    <m/>
    <m/>
    <n v="20240831"/>
    <m/>
    <m/>
    <n v="20240831"/>
    <n v="8300035647"/>
    <m/>
    <m/>
    <s v="PAGO INTERBANC EPS FAMISANAR S"/>
    <m/>
    <x v="3"/>
    <n v="921704"/>
    <n v="8"/>
  </r>
  <r>
    <n v="1"/>
    <s v="SA"/>
    <s v="Pago Incap"/>
    <x v="8"/>
    <d v="2024-08-31T00:00:00"/>
    <s v="PAGO INCAP"/>
    <s v="O003"/>
    <m/>
    <n v="57"/>
    <s v="S"/>
    <n v="1533010002"/>
    <m/>
    <m/>
    <m/>
    <m/>
    <m/>
    <m/>
    <m/>
    <m/>
    <n v="-10094175"/>
    <s v="COP"/>
    <m/>
    <m/>
    <m/>
    <m/>
    <m/>
    <m/>
    <m/>
    <s v="O003001452"/>
    <m/>
    <m/>
    <n v="20240831"/>
    <m/>
    <m/>
    <n v="20240831"/>
    <n v="8301138310"/>
    <m/>
    <m/>
    <s v="PAGO DE PROV ALIANSALUD EPS"/>
    <m/>
    <x v="0"/>
    <n v="10094175"/>
    <n v="8"/>
  </r>
  <r>
    <n v="1"/>
    <s v="SA"/>
    <s v="Pago Incap"/>
    <x v="8"/>
    <d v="2024-08-31T00:00:00"/>
    <s v="PAGO INCAP"/>
    <s v="O003"/>
    <m/>
    <n v="58"/>
    <s v="S"/>
    <n v="1533010002"/>
    <m/>
    <m/>
    <m/>
    <m/>
    <m/>
    <m/>
    <m/>
    <m/>
    <n v="-19504055"/>
    <s v="COP"/>
    <m/>
    <m/>
    <m/>
    <m/>
    <m/>
    <m/>
    <m/>
    <s v="O003001452"/>
    <m/>
    <m/>
    <n v="20240831"/>
    <m/>
    <m/>
    <n v="20240831"/>
    <n v="8600021839"/>
    <m/>
    <m/>
    <s v="PAGO INTERBANC AXA COLPATRIA S"/>
    <m/>
    <x v="0"/>
    <n v="19504055"/>
    <n v="8"/>
  </r>
  <r>
    <n v="1"/>
    <s v="SA"/>
    <s v="Pago Incap"/>
    <x v="8"/>
    <d v="2024-08-31T00:00:00"/>
    <s v="PAGO INCAP"/>
    <s v="O003"/>
    <m/>
    <n v="59"/>
    <s v="S"/>
    <n v="1533010002"/>
    <m/>
    <m/>
    <m/>
    <m/>
    <m/>
    <m/>
    <m/>
    <m/>
    <n v="-5191380"/>
    <s v="COP"/>
    <m/>
    <m/>
    <m/>
    <m/>
    <m/>
    <m/>
    <m/>
    <s v="O003001452"/>
    <m/>
    <m/>
    <n v="20240831"/>
    <m/>
    <m/>
    <n v="20240831"/>
    <n v="8600669427"/>
    <m/>
    <m/>
    <s v="PAGO INTERBANC CAJA DE COMPENS"/>
    <m/>
    <x v="4"/>
    <n v="5191380"/>
    <n v="8"/>
  </r>
  <r>
    <n v="1"/>
    <s v="SA"/>
    <s v="Pago Incap"/>
    <x v="8"/>
    <d v="2024-08-31T00:00:00"/>
    <s v="PAGO INCAP"/>
    <s v="O003"/>
    <m/>
    <n v="60"/>
    <s v="S"/>
    <n v="1533010002"/>
    <m/>
    <m/>
    <m/>
    <m/>
    <m/>
    <m/>
    <m/>
    <m/>
    <n v="-5980155"/>
    <s v="COP"/>
    <m/>
    <m/>
    <m/>
    <m/>
    <m/>
    <m/>
    <m/>
    <s v="O003001452"/>
    <m/>
    <m/>
    <n v="20240831"/>
    <m/>
    <m/>
    <n v="20240831"/>
    <n v="8903030935"/>
    <m/>
    <m/>
    <s v="PAGO INTERBANC COMFENALCO"/>
    <m/>
    <x v="0"/>
    <n v="5980155"/>
    <n v="8"/>
  </r>
  <r>
    <n v="1"/>
    <s v="SA"/>
    <s v="Pago Incap"/>
    <x v="8"/>
    <d v="2024-08-31T00:00:00"/>
    <s v="PAGO INCAP"/>
    <s v="O003"/>
    <m/>
    <n v="61"/>
    <s v="S"/>
    <n v="1533010002"/>
    <m/>
    <m/>
    <m/>
    <m/>
    <m/>
    <m/>
    <m/>
    <m/>
    <n v="-32189898"/>
    <s v="COP"/>
    <m/>
    <m/>
    <m/>
    <m/>
    <m/>
    <m/>
    <m/>
    <s v="O003001452"/>
    <m/>
    <m/>
    <n v="20240831"/>
    <m/>
    <m/>
    <n v="20240831"/>
    <n v="9001562642"/>
    <m/>
    <m/>
    <s v="PAGO DE PROV NUEVA EPS S A"/>
    <m/>
    <x v="5"/>
    <n v="32189898"/>
    <n v="8"/>
  </r>
  <r>
    <n v="1"/>
    <s v="SA"/>
    <s v="Pago Incap"/>
    <x v="9"/>
    <d v="2024-09-30T00:00:00"/>
    <s v="PAGO INCAP"/>
    <s v="O003"/>
    <m/>
    <n v="42"/>
    <s v="S"/>
    <n v="1533010002"/>
    <m/>
    <m/>
    <m/>
    <m/>
    <m/>
    <m/>
    <m/>
    <m/>
    <n v="-30222489"/>
    <s v="COP"/>
    <m/>
    <m/>
    <m/>
    <m/>
    <m/>
    <m/>
    <m/>
    <s v="O003001452"/>
    <m/>
    <m/>
    <n v="20240930"/>
    <m/>
    <m/>
    <n v="20240930"/>
    <n v="8000887022"/>
    <m/>
    <m/>
    <s v="PAGO DE PROV EPS SURAMERICAN"/>
    <m/>
    <x v="6"/>
    <n v="30222489"/>
    <n v="9"/>
  </r>
  <r>
    <n v="1"/>
    <s v="SA"/>
    <s v="Pago Incap"/>
    <x v="9"/>
    <d v="2024-09-30T00:00:00"/>
    <s v="PAGO INCAP"/>
    <s v="O003"/>
    <m/>
    <n v="43"/>
    <s v="S"/>
    <n v="1533010002"/>
    <m/>
    <m/>
    <m/>
    <m/>
    <m/>
    <m/>
    <m/>
    <m/>
    <n v="-22400074"/>
    <s v="COP"/>
    <m/>
    <m/>
    <m/>
    <m/>
    <m/>
    <m/>
    <m/>
    <s v="O003001452"/>
    <m/>
    <m/>
    <n v="20240930"/>
    <m/>
    <m/>
    <n v="20240930"/>
    <n v="8001309074"/>
    <m/>
    <m/>
    <s v="PAGO DE PROV SALUD TOTAL EPS"/>
    <m/>
    <x v="0"/>
    <n v="22400074"/>
    <n v="9"/>
  </r>
  <r>
    <n v="1"/>
    <s v="SA"/>
    <s v="Pago Incap"/>
    <x v="9"/>
    <d v="2024-09-30T00:00:00"/>
    <s v="PAGO INCAP"/>
    <s v="O003"/>
    <m/>
    <n v="44"/>
    <s v="S"/>
    <n v="1533010002"/>
    <m/>
    <m/>
    <m/>
    <m/>
    <m/>
    <m/>
    <m/>
    <m/>
    <n v="-11361923"/>
    <s v="COP"/>
    <m/>
    <m/>
    <m/>
    <m/>
    <m/>
    <m/>
    <m/>
    <s v="O003001452"/>
    <m/>
    <m/>
    <n v="20240930"/>
    <m/>
    <m/>
    <n v="20240930"/>
    <n v="8002514406"/>
    <m/>
    <m/>
    <s v="PAGO INTERBANC EPS SANITAS S A"/>
    <m/>
    <x v="1"/>
    <n v="11361923"/>
    <n v="9"/>
  </r>
  <r>
    <n v="1"/>
    <s v="SA"/>
    <s v="Pago Incap"/>
    <x v="9"/>
    <d v="2024-09-30T00:00:00"/>
    <s v="PAGO INCAP"/>
    <s v="O003"/>
    <m/>
    <n v="45"/>
    <s v="S"/>
    <n v="1533010002"/>
    <m/>
    <m/>
    <m/>
    <m/>
    <m/>
    <m/>
    <m/>
    <m/>
    <n v="-23833118"/>
    <s v="COP"/>
    <m/>
    <m/>
    <m/>
    <m/>
    <m/>
    <m/>
    <m/>
    <s v="O003001452"/>
    <m/>
    <m/>
    <n v="20240930"/>
    <m/>
    <m/>
    <n v="20240930"/>
    <n v="8300035647"/>
    <m/>
    <m/>
    <s v="PAGO INTERBANC EPS FAMISANAR S"/>
    <m/>
    <x v="3"/>
    <n v="23833118"/>
    <n v="9"/>
  </r>
  <r>
    <n v="1"/>
    <s v="SA"/>
    <s v="Pago Incap"/>
    <x v="9"/>
    <d v="2024-09-30T00:00:00"/>
    <s v="PAGO INCAP"/>
    <s v="O003"/>
    <m/>
    <n v="46"/>
    <s v="S"/>
    <n v="1533010002"/>
    <m/>
    <m/>
    <m/>
    <m/>
    <m/>
    <m/>
    <m/>
    <m/>
    <n v="-27938166"/>
    <s v="COP"/>
    <m/>
    <m/>
    <m/>
    <m/>
    <m/>
    <m/>
    <m/>
    <s v="O003001452"/>
    <m/>
    <m/>
    <n v="20240930"/>
    <m/>
    <m/>
    <n v="20240930"/>
    <n v="8301138310"/>
    <m/>
    <m/>
    <s v="PAGO DE PROV ALIANSALUD EPS"/>
    <m/>
    <x v="0"/>
    <n v="27938166"/>
    <n v="9"/>
  </r>
  <r>
    <n v="1"/>
    <s v="SA"/>
    <s v="Pago Incap"/>
    <x v="9"/>
    <d v="2024-09-30T00:00:00"/>
    <s v="PAGO INCAP"/>
    <s v="O003"/>
    <m/>
    <n v="47"/>
    <s v="S"/>
    <n v="1533010002"/>
    <m/>
    <m/>
    <m/>
    <m/>
    <m/>
    <m/>
    <m/>
    <m/>
    <n v="-2630223"/>
    <s v="COP"/>
    <m/>
    <m/>
    <m/>
    <m/>
    <m/>
    <m/>
    <m/>
    <s v="O003001452"/>
    <m/>
    <m/>
    <n v="20240930"/>
    <m/>
    <m/>
    <n v="20240930"/>
    <n v="8600021839"/>
    <m/>
    <m/>
    <s v="PAGO INTERBANC AXA COLPATRIA S"/>
    <m/>
    <x v="0"/>
    <n v="2630223"/>
    <n v="9"/>
  </r>
  <r>
    <n v="1"/>
    <s v="SA"/>
    <s v="Pago Incap"/>
    <x v="9"/>
    <d v="2024-09-30T00:00:00"/>
    <s v="PAGO INCAP"/>
    <s v="O003"/>
    <m/>
    <n v="48"/>
    <s v="S"/>
    <n v="1533010002"/>
    <m/>
    <m/>
    <m/>
    <m/>
    <m/>
    <m/>
    <m/>
    <m/>
    <n v="-12559118"/>
    <s v="COP"/>
    <m/>
    <m/>
    <m/>
    <m/>
    <m/>
    <m/>
    <m/>
    <s v="O003001452"/>
    <m/>
    <m/>
    <n v="20240930"/>
    <m/>
    <m/>
    <n v="20240930"/>
    <n v="8600669427"/>
    <m/>
    <m/>
    <s v="PAGO INTERBANC CAJA DE COMPENS"/>
    <m/>
    <x v="4"/>
    <n v="12559118"/>
    <n v="9"/>
  </r>
  <r>
    <n v="1"/>
    <s v="SA"/>
    <s v="Pago Incap"/>
    <x v="9"/>
    <d v="2024-09-30T00:00:00"/>
    <s v="PAGO INCAP"/>
    <s v="O003"/>
    <m/>
    <n v="49"/>
    <s v="S"/>
    <n v="1533010002"/>
    <m/>
    <m/>
    <m/>
    <m/>
    <m/>
    <m/>
    <m/>
    <m/>
    <n v="-19208959"/>
    <s v="COP"/>
    <m/>
    <m/>
    <m/>
    <m/>
    <m/>
    <m/>
    <m/>
    <s v="O003001452"/>
    <m/>
    <m/>
    <n v="20240930"/>
    <m/>
    <m/>
    <n v="20240930"/>
    <n v="9001562642"/>
    <m/>
    <m/>
    <s v="PAGO DE PROV NUEVA EPS S A"/>
    <m/>
    <x v="5"/>
    <n v="19208959"/>
    <n v="9"/>
  </r>
  <r>
    <n v="1"/>
    <s v="SA"/>
    <s v="Pago Incap"/>
    <x v="9"/>
    <d v="2024-09-30T00:00:00"/>
    <s v="PAGO INCAP"/>
    <s v="O003"/>
    <m/>
    <n v="52"/>
    <s v="S"/>
    <n v="1533010002"/>
    <m/>
    <m/>
    <m/>
    <m/>
    <m/>
    <m/>
    <m/>
    <m/>
    <n v="5980155"/>
    <s v="COP"/>
    <m/>
    <m/>
    <m/>
    <m/>
    <m/>
    <m/>
    <m/>
    <s v="O003001452"/>
    <m/>
    <m/>
    <n v="20240930"/>
    <m/>
    <m/>
    <n v="20240930"/>
    <n v="8903030935"/>
    <m/>
    <m/>
    <s v="PAGO INTERBANC COMFENALCO"/>
    <m/>
    <x v="0"/>
    <n v="5980155"/>
    <n v="9"/>
  </r>
  <r>
    <n v="1"/>
    <s v="SA"/>
    <s v="Pago Incap"/>
    <x v="9"/>
    <d v="2024-09-30T00:00:00"/>
    <s v="PAGO INCAP"/>
    <s v="O003"/>
    <m/>
    <n v="58"/>
    <s v="S"/>
    <n v="1533010002"/>
    <m/>
    <m/>
    <m/>
    <m/>
    <m/>
    <m/>
    <m/>
    <m/>
    <n v="-2472464"/>
    <s v="COP"/>
    <m/>
    <m/>
    <m/>
    <m/>
    <m/>
    <m/>
    <m/>
    <s v="O003001452"/>
    <m/>
    <m/>
    <n v="20240930"/>
    <m/>
    <m/>
    <n v="20240930"/>
    <n v="8300035647"/>
    <m/>
    <m/>
    <s v="PAGO INTERBANC EPS FAMISANAR S"/>
    <m/>
    <x v="3"/>
    <n v="2472464"/>
    <n v="9"/>
  </r>
  <r>
    <n v="1"/>
    <s v="SA"/>
    <s v="Pago Incap"/>
    <x v="9"/>
    <d v="2024-09-30T00:00:00"/>
    <s v="PAGO INCAP"/>
    <s v="O003"/>
    <m/>
    <n v="63"/>
    <s v="S"/>
    <n v="1533010002"/>
    <m/>
    <m/>
    <m/>
    <m/>
    <m/>
    <m/>
    <m/>
    <m/>
    <n v="-1340320"/>
    <s v="COP"/>
    <m/>
    <m/>
    <m/>
    <m/>
    <m/>
    <m/>
    <m/>
    <s v="O003001452"/>
    <m/>
    <m/>
    <n v="20240930"/>
    <m/>
    <m/>
    <n v="20240930"/>
    <n v="8909049961"/>
    <m/>
    <m/>
    <s v="PAGO TERCERO RECIBIDO DESDE ACH"/>
    <m/>
    <x v="0"/>
    <n v="1340320"/>
    <n v="9"/>
  </r>
  <r>
    <n v="1"/>
    <s v="SA"/>
    <s v="Pago Incap"/>
    <x v="9"/>
    <d v="2024-09-30T00:00:00"/>
    <s v="PAGO INCAP"/>
    <s v="O003"/>
    <m/>
    <n v="65"/>
    <s v="S"/>
    <n v="1533010002"/>
    <m/>
    <m/>
    <m/>
    <m/>
    <m/>
    <m/>
    <m/>
    <m/>
    <n v="-43334"/>
    <s v="COP"/>
    <m/>
    <m/>
    <m/>
    <m/>
    <m/>
    <m/>
    <m/>
    <s v="O003001452"/>
    <m/>
    <m/>
    <n v="20240930"/>
    <m/>
    <m/>
    <n v="20240930"/>
    <n v="8060083947"/>
    <m/>
    <m/>
    <s v="PAGO DE PROV ASOCIACION MUTU"/>
    <m/>
    <x v="0"/>
    <n v="43334"/>
    <n v="9"/>
  </r>
  <r>
    <n v="1"/>
    <s v="SA"/>
    <s v="Pago Incap"/>
    <x v="9"/>
    <d v="2024-09-30T00:00:00"/>
    <s v="PAGO INCAP"/>
    <s v="O003"/>
    <m/>
    <n v="215"/>
    <s v="S"/>
    <n v="1533010002"/>
    <m/>
    <m/>
    <m/>
    <m/>
    <m/>
    <m/>
    <m/>
    <m/>
    <n v="43334"/>
    <s v="COP"/>
    <m/>
    <m/>
    <m/>
    <m/>
    <m/>
    <m/>
    <m/>
    <s v="O003001452"/>
    <m/>
    <m/>
    <n v="20240930"/>
    <m/>
    <m/>
    <n v="20240930"/>
    <n v="8060083947"/>
    <m/>
    <m/>
    <s v="PAGO DE PROV ASOCIACION MUTU"/>
    <m/>
    <x v="0"/>
    <n v="43334"/>
    <n v="9"/>
  </r>
  <r>
    <n v="1"/>
    <s v="SA"/>
    <s v="Pago Incap"/>
    <x v="9"/>
    <d v="2024-09-30T00:00:00"/>
    <s v="PAGO INCAP"/>
    <s v="O003"/>
    <m/>
    <n v="217"/>
    <s v="S"/>
    <n v="1533010002"/>
    <m/>
    <m/>
    <m/>
    <m/>
    <m/>
    <m/>
    <m/>
    <m/>
    <n v="-43334"/>
    <s v="COP"/>
    <m/>
    <m/>
    <m/>
    <m/>
    <m/>
    <m/>
    <m/>
    <s v="O003001452"/>
    <m/>
    <m/>
    <n v="20240930"/>
    <m/>
    <m/>
    <n v="20240930"/>
    <n v="8060083947"/>
    <m/>
    <m/>
    <s v="PAGO DE PROV ASOCIACION MUTU"/>
    <m/>
    <x v="0"/>
    <n v="43334"/>
    <n v="9"/>
  </r>
  <r>
    <n v="1"/>
    <s v="SA"/>
    <s v="Pago Incap"/>
    <x v="10"/>
    <d v="2024-10-31T00:00:00"/>
    <s v="PAGO INCAP"/>
    <s v="O003"/>
    <m/>
    <n v="54"/>
    <s v="S"/>
    <n v="1533010002"/>
    <m/>
    <m/>
    <m/>
    <m/>
    <m/>
    <m/>
    <m/>
    <m/>
    <n v="-31103667"/>
    <s v="COP"/>
    <m/>
    <m/>
    <m/>
    <m/>
    <m/>
    <m/>
    <m/>
    <s v="O003001452"/>
    <m/>
    <m/>
    <n v="20241031"/>
    <m/>
    <m/>
    <n v="20241031"/>
    <n v="8000887022"/>
    <m/>
    <m/>
    <s v="PAGO DE PROV EPS SURAMERICAN"/>
    <m/>
    <x v="6"/>
    <n v="31103667"/>
    <n v="10"/>
  </r>
  <r>
    <n v="1"/>
    <s v="SA"/>
    <s v="Pago Incap"/>
    <x v="10"/>
    <d v="2024-10-31T00:00:00"/>
    <s v="PAGO INCAP"/>
    <s v="O003"/>
    <m/>
    <n v="55"/>
    <s v="S"/>
    <n v="1533010002"/>
    <m/>
    <m/>
    <m/>
    <m/>
    <m/>
    <m/>
    <m/>
    <m/>
    <n v="-657062"/>
    <s v="COP"/>
    <m/>
    <m/>
    <m/>
    <m/>
    <m/>
    <m/>
    <m/>
    <s v="O003001452"/>
    <m/>
    <m/>
    <n v="20241031"/>
    <m/>
    <m/>
    <n v="20241031"/>
    <n v="8001309074"/>
    <m/>
    <m/>
    <s v="PAGO DE PROV SALUD TOTAL EPS"/>
    <m/>
    <x v="0"/>
    <n v="657062"/>
    <n v="10"/>
  </r>
  <r>
    <n v="1"/>
    <s v="SA"/>
    <s v="Pago Incap"/>
    <x v="10"/>
    <d v="2024-10-31T00:00:00"/>
    <s v="PAGO INCAP"/>
    <s v="O003"/>
    <m/>
    <n v="56"/>
    <s v="S"/>
    <n v="1533010002"/>
    <m/>
    <m/>
    <m/>
    <m/>
    <m/>
    <m/>
    <m/>
    <m/>
    <n v="-1776671"/>
    <s v="COP"/>
    <m/>
    <m/>
    <m/>
    <m/>
    <m/>
    <m/>
    <m/>
    <s v="O003001452"/>
    <m/>
    <m/>
    <n v="20241031"/>
    <m/>
    <m/>
    <n v="20241031"/>
    <n v="8002492410"/>
    <m/>
    <m/>
    <s v="PAGO INTERBANC COOSALUD-ENTIDA"/>
    <m/>
    <x v="0"/>
    <n v="1776671"/>
    <n v="10"/>
  </r>
  <r>
    <n v="1"/>
    <s v="SA"/>
    <s v="Pago Incap"/>
    <x v="10"/>
    <d v="2024-10-31T00:00:00"/>
    <s v="PAGO INCAP"/>
    <s v="O003"/>
    <m/>
    <n v="57"/>
    <s v="S"/>
    <n v="1533010002"/>
    <m/>
    <m/>
    <m/>
    <m/>
    <m/>
    <m/>
    <m/>
    <m/>
    <n v="-34883812"/>
    <s v="COP"/>
    <m/>
    <m/>
    <m/>
    <m/>
    <m/>
    <m/>
    <m/>
    <s v="O003001452"/>
    <m/>
    <m/>
    <n v="20241031"/>
    <m/>
    <m/>
    <n v="20241031"/>
    <n v="8002514406"/>
    <m/>
    <m/>
    <s v="PAGO INTERBANC EPS SANITAS S A"/>
    <m/>
    <x v="1"/>
    <n v="34883812"/>
    <n v="10"/>
  </r>
  <r>
    <n v="1"/>
    <s v="SA"/>
    <s v="Pago Incap"/>
    <x v="10"/>
    <d v="2024-10-31T00:00:00"/>
    <s v="PAGO INCAP"/>
    <s v="O003"/>
    <m/>
    <n v="58"/>
    <s v="S"/>
    <n v="1533010002"/>
    <m/>
    <m/>
    <m/>
    <m/>
    <m/>
    <m/>
    <m/>
    <m/>
    <n v="-426669"/>
    <s v="COP"/>
    <m/>
    <m/>
    <m/>
    <m/>
    <m/>
    <m/>
    <m/>
    <s v="O003001452"/>
    <m/>
    <m/>
    <n v="20241031"/>
    <m/>
    <m/>
    <n v="20241031"/>
    <n v="8060083947"/>
    <m/>
    <m/>
    <s v="PAGO INTERBANC MUTUAL SER EPS"/>
    <m/>
    <x v="0"/>
    <n v="426669"/>
    <n v="10"/>
  </r>
  <r>
    <n v="1"/>
    <s v="SA"/>
    <s v="Pago Incap"/>
    <x v="10"/>
    <d v="2024-10-31T00:00:00"/>
    <s v="PAGO INCAP"/>
    <s v="O003"/>
    <m/>
    <n v="59"/>
    <s v="S"/>
    <n v="1533010002"/>
    <m/>
    <m/>
    <m/>
    <m/>
    <m/>
    <m/>
    <m/>
    <m/>
    <n v="-130002"/>
    <s v="COP"/>
    <m/>
    <m/>
    <m/>
    <m/>
    <m/>
    <m/>
    <m/>
    <s v="O003001452"/>
    <m/>
    <m/>
    <n v="20241031"/>
    <m/>
    <m/>
    <n v="20241031"/>
    <n v="8140003371"/>
    <m/>
    <m/>
    <s v="PAGO INTERBANC EMSSANAR EMPRES"/>
    <m/>
    <x v="2"/>
    <n v="130002"/>
    <n v="10"/>
  </r>
  <r>
    <n v="1"/>
    <s v="SA"/>
    <s v="Pago Incap"/>
    <x v="10"/>
    <d v="2024-10-31T00:00:00"/>
    <s v="PAGO INCAP"/>
    <s v="O003"/>
    <m/>
    <n v="60"/>
    <s v="S"/>
    <n v="1533010002"/>
    <m/>
    <m/>
    <m/>
    <m/>
    <m/>
    <m/>
    <m/>
    <m/>
    <n v="-38837"/>
    <s v="COP"/>
    <m/>
    <m/>
    <m/>
    <m/>
    <m/>
    <m/>
    <m/>
    <s v="O003001452"/>
    <m/>
    <m/>
    <n v="20241031"/>
    <m/>
    <m/>
    <n v="20241031"/>
    <n v="8300035647"/>
    <m/>
    <m/>
    <s v="PAGO INTERBANC EPS FAMISANAR S"/>
    <m/>
    <x v="3"/>
    <n v="38837"/>
    <n v="10"/>
  </r>
  <r>
    <n v="1"/>
    <s v="SA"/>
    <s v="Pago Incap"/>
    <x v="10"/>
    <d v="2024-10-31T00:00:00"/>
    <s v="PAGO INCAP"/>
    <s v="O003"/>
    <m/>
    <n v="61"/>
    <s v="S"/>
    <n v="1533010002"/>
    <m/>
    <m/>
    <m/>
    <m/>
    <m/>
    <m/>
    <m/>
    <m/>
    <n v="-8563922"/>
    <s v="COP"/>
    <m/>
    <m/>
    <m/>
    <m/>
    <m/>
    <m/>
    <m/>
    <s v="O003001452"/>
    <m/>
    <m/>
    <n v="20241031"/>
    <m/>
    <m/>
    <n v="20241031"/>
    <n v="8301138310"/>
    <m/>
    <m/>
    <s v="PAGO DE PROV ALIANSALUD EPS"/>
    <m/>
    <x v="0"/>
    <n v="8563922"/>
    <n v="10"/>
  </r>
  <r>
    <n v="1"/>
    <s v="SA"/>
    <s v="Pago Incap"/>
    <x v="10"/>
    <d v="2024-10-31T00:00:00"/>
    <s v="PAGO INCAP"/>
    <s v="O003"/>
    <m/>
    <n v="62"/>
    <s v="S"/>
    <n v="1533010002"/>
    <m/>
    <m/>
    <m/>
    <m/>
    <m/>
    <m/>
    <m/>
    <m/>
    <n v="-3097066"/>
    <s v="COP"/>
    <m/>
    <m/>
    <m/>
    <m/>
    <m/>
    <m/>
    <m/>
    <s v="O003001452"/>
    <m/>
    <m/>
    <n v="20241031"/>
    <m/>
    <m/>
    <n v="20241031"/>
    <n v="8600021839"/>
    <m/>
    <m/>
    <s v="PAGO INTERBANC AXA COLPATRIA S"/>
    <m/>
    <x v="0"/>
    <n v="3097066"/>
    <n v="10"/>
  </r>
  <r>
    <n v="1"/>
    <s v="SA"/>
    <s v="Pago Incap"/>
    <x v="10"/>
    <d v="2024-10-31T00:00:00"/>
    <s v="PAGO INCAP"/>
    <s v="O003"/>
    <m/>
    <n v="63"/>
    <s v="S"/>
    <n v="1533010002"/>
    <m/>
    <m/>
    <m/>
    <m/>
    <m/>
    <m/>
    <m/>
    <m/>
    <n v="-14499561"/>
    <s v="COP"/>
    <m/>
    <m/>
    <m/>
    <m/>
    <m/>
    <m/>
    <m/>
    <s v="O003001452"/>
    <m/>
    <m/>
    <n v="20241031"/>
    <m/>
    <m/>
    <n v="20241031"/>
    <n v="8600669427"/>
    <m/>
    <m/>
    <s v="PAGO INTERBANC CAJA DE COMPENS"/>
    <m/>
    <x v="4"/>
    <n v="14499561"/>
    <n v="10"/>
  </r>
  <r>
    <n v="1"/>
    <s v="SA"/>
    <s v="Pago Incap"/>
    <x v="10"/>
    <d v="2024-10-31T00:00:00"/>
    <s v="PAGO INCAP"/>
    <s v="O003"/>
    <m/>
    <n v="64"/>
    <s v="S"/>
    <n v="1533010002"/>
    <m/>
    <m/>
    <m/>
    <m/>
    <m/>
    <m/>
    <m/>
    <m/>
    <n v="-3565005"/>
    <s v="COP"/>
    <m/>
    <m/>
    <m/>
    <m/>
    <m/>
    <m/>
    <m/>
    <s v="O003001452"/>
    <m/>
    <m/>
    <n v="20241031"/>
    <m/>
    <m/>
    <n v="20241031"/>
    <n v="8903030935"/>
    <m/>
    <m/>
    <s v="PAGO INTERBANC COMFENALCO"/>
    <m/>
    <x v="0"/>
    <n v="3565005"/>
    <n v="10"/>
  </r>
  <r>
    <n v="1"/>
    <s v="SA"/>
    <s v="Pago Incap"/>
    <x v="10"/>
    <d v="2024-10-31T00:00:00"/>
    <s v="PAGO INCAP"/>
    <s v="O003"/>
    <m/>
    <n v="65"/>
    <s v="S"/>
    <n v="1533010002"/>
    <m/>
    <m/>
    <m/>
    <m/>
    <m/>
    <m/>
    <m/>
    <m/>
    <n v="-44349074"/>
    <s v="COP"/>
    <m/>
    <m/>
    <m/>
    <m/>
    <m/>
    <m/>
    <m/>
    <s v="O003001452"/>
    <m/>
    <m/>
    <n v="20241031"/>
    <m/>
    <m/>
    <n v="20241031"/>
    <n v="9001562642"/>
    <m/>
    <m/>
    <s v="PAGO DE PROV NUEVA EPS S A"/>
    <m/>
    <x v="5"/>
    <n v="44349074"/>
    <n v="10"/>
  </r>
  <r>
    <n v="1"/>
    <s v="SA"/>
    <s v="Pago Incap"/>
    <x v="10"/>
    <d v="2024-10-31T00:00:00"/>
    <s v="PAGO INCAP"/>
    <s v="O003"/>
    <m/>
    <n v="66"/>
    <s v="S"/>
    <n v="1533010002"/>
    <m/>
    <m/>
    <m/>
    <m/>
    <m/>
    <m/>
    <m/>
    <m/>
    <n v="-390000"/>
    <s v="COP"/>
    <m/>
    <m/>
    <m/>
    <m/>
    <m/>
    <m/>
    <m/>
    <s v="O003001452"/>
    <m/>
    <m/>
    <n v="20241031"/>
    <m/>
    <m/>
    <n v="20241031"/>
    <n v="9002983729"/>
    <m/>
    <m/>
    <s v="PAGO DE PROV CAPITAL SALUD E"/>
    <m/>
    <x v="0"/>
    <n v="390000"/>
    <n v="10"/>
  </r>
  <r>
    <n v="1"/>
    <s v="SA"/>
    <s v="Pago Incap"/>
    <x v="10"/>
    <d v="2024-10-31T00:00:00"/>
    <s v="PAGO INCAP"/>
    <s v="O003"/>
    <m/>
    <n v="67"/>
    <s v="S"/>
    <n v="1533010002"/>
    <m/>
    <m/>
    <m/>
    <m/>
    <m/>
    <m/>
    <m/>
    <m/>
    <n v="-21343216"/>
    <s v="COP"/>
    <m/>
    <m/>
    <m/>
    <m/>
    <m/>
    <m/>
    <m/>
    <s v="O003001452"/>
    <m/>
    <m/>
    <n v="20241031"/>
    <m/>
    <m/>
    <n v="20241031"/>
    <n v="9010974735"/>
    <m/>
    <m/>
    <s v="PAGO INTERBANC MEDIMAS EPS S A"/>
    <m/>
    <x v="0"/>
    <n v="21343216"/>
    <n v="10"/>
  </r>
  <r>
    <n v="1"/>
    <s v="SA"/>
    <s v="Pago Incap"/>
    <x v="10"/>
    <d v="2024-10-31T00:00:00"/>
    <s v="PAGO INCAP"/>
    <s v="O003"/>
    <m/>
    <n v="86"/>
    <s v="S"/>
    <n v="1533010002"/>
    <m/>
    <m/>
    <m/>
    <m/>
    <m/>
    <m/>
    <m/>
    <m/>
    <n v="1022800"/>
    <s v="COP"/>
    <m/>
    <m/>
    <m/>
    <m/>
    <m/>
    <m/>
    <m/>
    <s v="O003001452"/>
    <m/>
    <m/>
    <n v="20241031"/>
    <m/>
    <m/>
    <n v="20241031"/>
    <n v="8902015787"/>
    <m/>
    <m/>
    <s v="PAGO INTERBANC COMFENALCO"/>
    <m/>
    <x v="0"/>
    <n v="1022800"/>
    <n v="10"/>
  </r>
  <r>
    <n v="1"/>
    <s v="SA"/>
    <s v="Pago Incap"/>
    <x v="10"/>
    <d v="2024-10-31T00:00:00"/>
    <s v="PAGO INCAP"/>
    <s v="O003"/>
    <m/>
    <n v="87"/>
    <s v="S"/>
    <n v="1533010002"/>
    <m/>
    <m/>
    <m/>
    <m/>
    <m/>
    <m/>
    <m/>
    <m/>
    <n v="757800"/>
    <s v="COP"/>
    <m/>
    <m/>
    <m/>
    <m/>
    <m/>
    <m/>
    <m/>
    <s v="O003001452"/>
    <m/>
    <m/>
    <n v="20241031"/>
    <m/>
    <m/>
    <n v="20241031"/>
    <n v="8902015787"/>
    <m/>
    <m/>
    <s v="PAGO INTERBANC COMFENALCO"/>
    <m/>
    <x v="0"/>
    <n v="757800"/>
    <n v="10"/>
  </r>
  <r>
    <n v="1"/>
    <s v="SA"/>
    <s v="Pago Incap"/>
    <x v="10"/>
    <d v="2024-10-31T00:00:00"/>
    <s v="PAGO INCAP"/>
    <s v="O003"/>
    <m/>
    <n v="88"/>
    <s v="S"/>
    <n v="1533010002"/>
    <m/>
    <m/>
    <m/>
    <m/>
    <m/>
    <m/>
    <m/>
    <m/>
    <n v="2552892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2552892"/>
    <n v="10"/>
  </r>
  <r>
    <n v="1"/>
    <s v="SA"/>
    <s v="Pago Incap"/>
    <x v="10"/>
    <d v="2024-10-31T00:00:00"/>
    <s v="PAGO INCAP"/>
    <s v="O003"/>
    <m/>
    <n v="89"/>
    <s v="S"/>
    <n v="1533010002"/>
    <m/>
    <m/>
    <m/>
    <m/>
    <m/>
    <m/>
    <m/>
    <m/>
    <n v="1155958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1155958"/>
    <n v="10"/>
  </r>
  <r>
    <n v="1"/>
    <s v="SA"/>
    <s v="Pago Incap"/>
    <x v="10"/>
    <d v="2024-10-31T00:00:00"/>
    <s v="PAGO INCAP"/>
    <s v="O003"/>
    <m/>
    <n v="90"/>
    <s v="S"/>
    <n v="1533010002"/>
    <m/>
    <m/>
    <m/>
    <m/>
    <m/>
    <m/>
    <m/>
    <m/>
    <n v="220615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220615"/>
    <n v="10"/>
  </r>
  <r>
    <n v="1"/>
    <s v="SA"/>
    <s v="Pago Incap"/>
    <x v="10"/>
    <d v="2024-10-31T00:00:00"/>
    <s v="PAGO INCAP"/>
    <s v="O003"/>
    <m/>
    <n v="91"/>
    <s v="S"/>
    <n v="1533010002"/>
    <m/>
    <m/>
    <m/>
    <m/>
    <m/>
    <m/>
    <m/>
    <m/>
    <n v="580922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580922"/>
    <n v="10"/>
  </r>
  <r>
    <n v="1"/>
    <s v="SA"/>
    <s v="Pago Incap"/>
    <x v="10"/>
    <d v="2024-10-31T00:00:00"/>
    <s v="PAGO INCAP"/>
    <s v="O003"/>
    <m/>
    <n v="92"/>
    <s v="S"/>
    <n v="1533010002"/>
    <m/>
    <m/>
    <m/>
    <m/>
    <m/>
    <m/>
    <m/>
    <m/>
    <n v="1784405"/>
    <s v="COP"/>
    <m/>
    <m/>
    <m/>
    <m/>
    <m/>
    <m/>
    <m/>
    <s v="O003001452"/>
    <m/>
    <m/>
    <n v="20241031"/>
    <m/>
    <m/>
    <n v="20241031"/>
    <n v="8902015787"/>
    <m/>
    <m/>
    <s v="PAGO INTERBANC COMFENALCO"/>
    <m/>
    <x v="0"/>
    <n v="1784405"/>
    <n v="10"/>
  </r>
  <r>
    <n v="1"/>
    <s v="SA"/>
    <s v="Pago Incap"/>
    <x v="10"/>
    <d v="2024-10-31T00:00:00"/>
    <s v="PAGO INCAP"/>
    <s v="O003"/>
    <m/>
    <n v="93"/>
    <s v="S"/>
    <n v="1533010002"/>
    <m/>
    <m/>
    <m/>
    <m/>
    <m/>
    <m/>
    <m/>
    <m/>
    <n v="3213002"/>
    <s v="COP"/>
    <m/>
    <m/>
    <m/>
    <m/>
    <m/>
    <m/>
    <m/>
    <s v="O003001452"/>
    <m/>
    <m/>
    <n v="20241031"/>
    <m/>
    <m/>
    <n v="20241031"/>
    <n v="8914800001"/>
    <m/>
    <m/>
    <s v="PAGO INTERBANC CAJA DE COMPENS"/>
    <m/>
    <x v="0"/>
    <n v="3213002"/>
    <n v="10"/>
  </r>
  <r>
    <n v="2"/>
    <s v="SA"/>
    <s v="Pago Incap"/>
    <x v="11"/>
    <d v="2024-11-30T00:00:00"/>
    <s v="PAGO INCAP"/>
    <s v="O003"/>
    <m/>
    <n v="30"/>
    <s v="S"/>
    <n v="1533010002"/>
    <m/>
    <m/>
    <m/>
    <m/>
    <m/>
    <m/>
    <m/>
    <m/>
    <n v="-10672000"/>
    <s v="COP"/>
    <m/>
    <m/>
    <m/>
    <m/>
    <m/>
    <m/>
    <m/>
    <s v="O003001452"/>
    <m/>
    <m/>
    <n v="20241130"/>
    <m/>
    <m/>
    <n v="20241130"/>
    <n v="1019098648"/>
    <m/>
    <m/>
    <s v="Devolucion Empleado NOMINA"/>
    <m/>
    <x v="0"/>
    <n v="10672000"/>
    <n v="11"/>
  </r>
  <r>
    <n v="2"/>
    <s v="SA"/>
    <s v="Pago Incap"/>
    <x v="11"/>
    <d v="2024-11-30T00:00:00"/>
    <s v="PAGO INCAP"/>
    <s v="O003"/>
    <m/>
    <n v="84"/>
    <s v="S"/>
    <n v="1533010002"/>
    <m/>
    <m/>
    <m/>
    <m/>
    <m/>
    <m/>
    <m/>
    <m/>
    <n v="-10562770"/>
    <s v="COP"/>
    <m/>
    <m/>
    <m/>
    <m/>
    <m/>
    <m/>
    <m/>
    <s v="O003001452"/>
    <m/>
    <m/>
    <n v="20241130"/>
    <m/>
    <m/>
    <n v="20241130"/>
    <n v="8000887022"/>
    <m/>
    <m/>
    <s v="PAGO DE PROV EPS SURAMERICAN"/>
    <m/>
    <x v="6"/>
    <n v="10562770"/>
    <n v="11"/>
  </r>
  <r>
    <n v="2"/>
    <s v="SA"/>
    <s v="Pago Incap"/>
    <x v="11"/>
    <d v="2024-11-30T00:00:00"/>
    <s v="PAGO INCAP"/>
    <s v="O003"/>
    <m/>
    <n v="85"/>
    <s v="S"/>
    <n v="1533010002"/>
    <m/>
    <m/>
    <m/>
    <m/>
    <m/>
    <m/>
    <m/>
    <m/>
    <n v="-29356654"/>
    <s v="COP"/>
    <m/>
    <m/>
    <m/>
    <m/>
    <m/>
    <m/>
    <m/>
    <s v="O003001452"/>
    <m/>
    <m/>
    <n v="20241130"/>
    <m/>
    <m/>
    <n v="20241130"/>
    <n v="8001309074"/>
    <m/>
    <m/>
    <s v="PAGO INTERBANC SALUD-TOTAL-EPS"/>
    <m/>
    <x v="0"/>
    <n v="29356654"/>
    <n v="11"/>
  </r>
  <r>
    <n v="2"/>
    <s v="SA"/>
    <s v="Pago Incap"/>
    <x v="11"/>
    <d v="2024-11-30T00:00:00"/>
    <s v="PAGO INCAP"/>
    <s v="O003"/>
    <m/>
    <n v="86"/>
    <s v="S"/>
    <n v="1533010002"/>
    <m/>
    <m/>
    <m/>
    <m/>
    <m/>
    <m/>
    <m/>
    <m/>
    <n v="-43614915"/>
    <s v="COP"/>
    <m/>
    <m/>
    <m/>
    <m/>
    <m/>
    <m/>
    <m/>
    <s v="O003001452"/>
    <m/>
    <m/>
    <n v="20241130"/>
    <m/>
    <m/>
    <n v="20241130"/>
    <n v="8002514406"/>
    <m/>
    <m/>
    <s v="PAGO INTERBANC EPS SANITAS S A"/>
    <m/>
    <x v="1"/>
    <n v="43614915"/>
    <n v="11"/>
  </r>
  <r>
    <n v="2"/>
    <s v="SA"/>
    <s v="Pago Incap"/>
    <x v="11"/>
    <d v="2024-11-30T00:00:00"/>
    <s v="PAGO INCAP"/>
    <s v="O003"/>
    <m/>
    <n v="87"/>
    <s v="S"/>
    <n v="1533010002"/>
    <m/>
    <m/>
    <m/>
    <m/>
    <m/>
    <m/>
    <m/>
    <m/>
    <n v="-129999"/>
    <s v="COP"/>
    <m/>
    <m/>
    <m/>
    <m/>
    <m/>
    <m/>
    <m/>
    <s v="O003001452"/>
    <m/>
    <m/>
    <n v="20241130"/>
    <m/>
    <m/>
    <n v="20241130"/>
    <n v="8050011572"/>
    <m/>
    <m/>
    <s v="PAGO INTERBANC EPS  SOS S A"/>
    <m/>
    <x v="0"/>
    <n v="129999"/>
    <n v="11"/>
  </r>
  <r>
    <n v="2"/>
    <s v="SA"/>
    <s v="Pago Incap"/>
    <x v="11"/>
    <d v="2024-11-30T00:00:00"/>
    <s v="PAGO INCAP"/>
    <s v="O003"/>
    <m/>
    <n v="88"/>
    <s v="S"/>
    <n v="1533010002"/>
    <m/>
    <m/>
    <m/>
    <m/>
    <m/>
    <m/>
    <m/>
    <m/>
    <n v="-650000"/>
    <s v="COP"/>
    <m/>
    <m/>
    <m/>
    <m/>
    <m/>
    <m/>
    <m/>
    <s v="O003001452"/>
    <m/>
    <m/>
    <n v="20241130"/>
    <m/>
    <m/>
    <n v="20241130"/>
    <n v="8060083947"/>
    <m/>
    <m/>
    <s v="PAGO INTERBANC MUTUAL SER EPS"/>
    <m/>
    <x v="0"/>
    <n v="650000"/>
    <n v="11"/>
  </r>
  <r>
    <n v="2"/>
    <s v="SA"/>
    <s v="Pago Incap"/>
    <x v="11"/>
    <d v="2024-11-30T00:00:00"/>
    <s v="PAGO INCAP"/>
    <s v="O003"/>
    <m/>
    <n v="89"/>
    <s v="S"/>
    <n v="1533010002"/>
    <m/>
    <m/>
    <m/>
    <m/>
    <m/>
    <m/>
    <m/>
    <m/>
    <n v="-16660742"/>
    <s v="COP"/>
    <m/>
    <m/>
    <m/>
    <m/>
    <m/>
    <m/>
    <m/>
    <s v="O003001452"/>
    <m/>
    <m/>
    <n v="20241130"/>
    <m/>
    <m/>
    <n v="20241130"/>
    <n v="8300035647"/>
    <m/>
    <m/>
    <s v="PAGO INTERBANC EPS FAMISANAR S"/>
    <m/>
    <x v="3"/>
    <n v="16660742"/>
    <n v="11"/>
  </r>
  <r>
    <n v="2"/>
    <s v="SA"/>
    <s v="Pago Incap"/>
    <x v="11"/>
    <d v="2024-11-30T00:00:00"/>
    <s v="PAGO INCAP"/>
    <s v="O003"/>
    <m/>
    <n v="90"/>
    <s v="S"/>
    <n v="1533010002"/>
    <m/>
    <m/>
    <m/>
    <m/>
    <m/>
    <m/>
    <m/>
    <m/>
    <n v="-10624295"/>
    <s v="COP"/>
    <m/>
    <m/>
    <m/>
    <m/>
    <m/>
    <m/>
    <m/>
    <s v="O003001452"/>
    <m/>
    <m/>
    <n v="20241130"/>
    <m/>
    <m/>
    <n v="20241130"/>
    <n v="8301138310"/>
    <m/>
    <m/>
    <s v="PAGO DE PROV ALIANSALUD EPS"/>
    <m/>
    <x v="0"/>
    <n v="10624295"/>
    <n v="11"/>
  </r>
  <r>
    <n v="2"/>
    <s v="SA"/>
    <s v="Pago Incap"/>
    <x v="11"/>
    <d v="2024-11-30T00:00:00"/>
    <s v="PAGO INCAP"/>
    <s v="O003"/>
    <m/>
    <n v="91"/>
    <s v="S"/>
    <n v="1533010002"/>
    <m/>
    <m/>
    <m/>
    <m/>
    <m/>
    <m/>
    <m/>
    <m/>
    <n v="-30462938"/>
    <s v="COP"/>
    <m/>
    <m/>
    <m/>
    <m/>
    <m/>
    <m/>
    <m/>
    <s v="O003001452"/>
    <m/>
    <m/>
    <n v="20241130"/>
    <m/>
    <m/>
    <n v="20241130"/>
    <n v="8600021839"/>
    <m/>
    <m/>
    <s v="PAGO INTERBANC AXA COLPATRIA S"/>
    <m/>
    <x v="0"/>
    <n v="30462938"/>
    <n v="11"/>
  </r>
  <r>
    <n v="2"/>
    <s v="SA"/>
    <s v="Pago Incap"/>
    <x v="11"/>
    <d v="2024-11-30T00:00:00"/>
    <s v="PAGO INCAP"/>
    <s v="O003"/>
    <m/>
    <n v="92"/>
    <s v="S"/>
    <n v="1533010002"/>
    <m/>
    <m/>
    <m/>
    <m/>
    <m/>
    <m/>
    <m/>
    <m/>
    <n v="-31128212"/>
    <s v="COP"/>
    <m/>
    <m/>
    <m/>
    <m/>
    <m/>
    <m/>
    <m/>
    <s v="O003001452"/>
    <m/>
    <m/>
    <n v="20241130"/>
    <m/>
    <m/>
    <n v="20241130"/>
    <n v="8600669427"/>
    <m/>
    <m/>
    <s v="PAGO INTERBANC CAJA DE COMPENS"/>
    <m/>
    <x v="4"/>
    <n v="31128212"/>
    <n v="11"/>
  </r>
  <r>
    <n v="2"/>
    <s v="SA"/>
    <s v="Pago Incap"/>
    <x v="11"/>
    <d v="2024-11-30T00:00:00"/>
    <s v="PAGO INCAP"/>
    <s v="O003"/>
    <m/>
    <n v="93"/>
    <s v="S"/>
    <n v="1533010002"/>
    <m/>
    <m/>
    <m/>
    <m/>
    <m/>
    <m/>
    <m/>
    <m/>
    <n v="-11832355"/>
    <s v="COP"/>
    <m/>
    <m/>
    <m/>
    <m/>
    <m/>
    <m/>
    <m/>
    <s v="O003001452"/>
    <m/>
    <m/>
    <n v="20241130"/>
    <m/>
    <m/>
    <n v="20241130"/>
    <n v="9001562642"/>
    <m/>
    <m/>
    <s v="PAGO DE PROV NUEVA EPS S A"/>
    <m/>
    <x v="5"/>
    <n v="11832355"/>
    <n v="11"/>
  </r>
  <r>
    <n v="2"/>
    <s v="SA"/>
    <s v="Pago Incap"/>
    <x v="11"/>
    <d v="2024-11-30T00:00:00"/>
    <s v="PAGO INCAP"/>
    <s v="O003"/>
    <m/>
    <n v="94"/>
    <s v="S"/>
    <n v="1533010002"/>
    <m/>
    <m/>
    <m/>
    <m/>
    <m/>
    <m/>
    <m/>
    <m/>
    <n v="-43334"/>
    <s v="COP"/>
    <m/>
    <m/>
    <m/>
    <m/>
    <m/>
    <m/>
    <m/>
    <s v="O003001452"/>
    <m/>
    <m/>
    <n v="20241130"/>
    <m/>
    <m/>
    <n v="20241130"/>
    <n v="9006043500"/>
    <m/>
    <m/>
    <s v="PAGO DE PROV AMA EPS S.A.S"/>
    <m/>
    <x v="0"/>
    <n v="43334"/>
    <n v="11"/>
  </r>
  <r>
    <n v="2"/>
    <s v="SA"/>
    <s v="Pago Incap"/>
    <x v="11"/>
    <d v="2024-11-30T00:00:00"/>
    <s v="PAGO INCAP"/>
    <s v="O003"/>
    <m/>
    <n v="95"/>
    <s v="S"/>
    <n v="1533010002"/>
    <m/>
    <m/>
    <m/>
    <m/>
    <m/>
    <m/>
    <m/>
    <m/>
    <n v="-4562667"/>
    <s v="COP"/>
    <m/>
    <m/>
    <m/>
    <m/>
    <m/>
    <m/>
    <m/>
    <s v="O003001452"/>
    <m/>
    <m/>
    <n v="20241130"/>
    <m/>
    <m/>
    <n v="20241130"/>
    <n v="9010379161"/>
    <m/>
    <m/>
    <s v="PAGO DE PROV ADRES"/>
    <m/>
    <x v="0"/>
    <n v="4562667"/>
    <n v="11"/>
  </r>
  <r>
    <n v="2"/>
    <s v="SA"/>
    <s v="Pago Incap"/>
    <x v="11"/>
    <d v="2024-11-30T00:00:00"/>
    <s v="PAGO INCAP"/>
    <s v="O003"/>
    <m/>
    <n v="97"/>
    <s v="S"/>
    <n v="1533010002"/>
    <m/>
    <m/>
    <m/>
    <m/>
    <m/>
    <m/>
    <m/>
    <m/>
    <n v="-1861507"/>
    <s v="COP"/>
    <m/>
    <m/>
    <m/>
    <m/>
    <m/>
    <m/>
    <m/>
    <s v="O003001452"/>
    <m/>
    <m/>
    <n v="20241130"/>
    <m/>
    <m/>
    <n v="20241130"/>
    <n v="9001562642"/>
    <m/>
    <m/>
    <s v="NUEVA EMPRESA PROMOTORA DE SALUD S.A."/>
    <m/>
    <x v="5"/>
    <n v="1861507"/>
    <n v="11"/>
  </r>
  <r>
    <n v="2"/>
    <s v="SA"/>
    <s v="Pago Incap"/>
    <x v="11"/>
    <d v="2024-11-30T00:00:00"/>
    <s v="PAGO INCAP"/>
    <s v="O003"/>
    <m/>
    <n v="99"/>
    <s v="S"/>
    <n v="1533010002"/>
    <m/>
    <m/>
    <m/>
    <m/>
    <m/>
    <m/>
    <m/>
    <m/>
    <n v="-587052"/>
    <s v="COP"/>
    <m/>
    <m/>
    <m/>
    <m/>
    <m/>
    <m/>
    <m/>
    <s v="O003001452"/>
    <m/>
    <m/>
    <n v="20241130"/>
    <m/>
    <m/>
    <n v="20241130"/>
    <n v="8909049961"/>
    <m/>
    <m/>
    <s v="PAGO TERCERO RECIBIDO DESDE ACH"/>
    <m/>
    <x v="0"/>
    <n v="587052"/>
    <n v="11"/>
  </r>
  <r>
    <n v="3"/>
    <s v="SA"/>
    <s v="Reclasf Gasto Inc "/>
    <x v="11"/>
    <d v="2024-11-30T00:00:00"/>
    <s v="Reclasf Gasto Inc "/>
    <s v="O003"/>
    <m/>
    <n v="129"/>
    <s v="S"/>
    <n v="1533010002"/>
    <m/>
    <m/>
    <m/>
    <m/>
    <m/>
    <m/>
    <m/>
    <m/>
    <n v="-49896189"/>
    <s v="COP"/>
    <m/>
    <m/>
    <m/>
    <m/>
    <m/>
    <m/>
    <m/>
    <s v="O003001452"/>
    <m/>
    <m/>
    <n v="20241130"/>
    <m/>
    <m/>
    <n v="20241130"/>
    <n v="8002421062"/>
    <m/>
    <m/>
    <s v="RECLASIFICACION INC NO COBRABLES 2024"/>
    <m/>
    <x v="0"/>
    <n v="49896189"/>
    <n v="11"/>
  </r>
  <r>
    <n v="1"/>
    <s v="SA"/>
    <s v="Pago Incap"/>
    <x v="12"/>
    <d v="2024-12-31T00:00:00"/>
    <s v="PAGO INCAP"/>
    <s v="O003"/>
    <m/>
    <n v="49"/>
    <s v="S"/>
    <n v="1533010002"/>
    <m/>
    <m/>
    <m/>
    <m/>
    <m/>
    <m/>
    <m/>
    <m/>
    <n v="-66542579"/>
    <s v="COP"/>
    <m/>
    <m/>
    <m/>
    <m/>
    <m/>
    <m/>
    <m/>
    <s v="O003001452"/>
    <m/>
    <m/>
    <n v="20241231"/>
    <m/>
    <m/>
    <n v="20241231"/>
    <n v="8000887022"/>
    <m/>
    <m/>
    <s v="PAGO DE PROV EPS SURAMERICAN"/>
    <m/>
    <x v="6"/>
    <n v="66542579"/>
    <n v="12"/>
  </r>
  <r>
    <n v="1"/>
    <s v="SA"/>
    <s v="Pago Incap"/>
    <x v="12"/>
    <d v="2024-12-31T00:00:00"/>
    <s v="PAGO INCAP"/>
    <s v="O003"/>
    <m/>
    <n v="50"/>
    <s v="S"/>
    <n v="1533010002"/>
    <m/>
    <m/>
    <m/>
    <m/>
    <m/>
    <m/>
    <m/>
    <m/>
    <n v="-6465658"/>
    <s v="COP"/>
    <m/>
    <m/>
    <m/>
    <m/>
    <m/>
    <m/>
    <m/>
    <s v="O003001452"/>
    <m/>
    <m/>
    <n v="20241231"/>
    <m/>
    <m/>
    <n v="20241231"/>
    <n v="8001309074"/>
    <m/>
    <m/>
    <s v="PAGO INTERBANC SALUD-TOTAL-EPS"/>
    <m/>
    <x v="0"/>
    <n v="6465658"/>
    <n v="12"/>
  </r>
  <r>
    <n v="1"/>
    <s v="SA"/>
    <s v="Pago Incap"/>
    <x v="12"/>
    <d v="2024-12-31T00:00:00"/>
    <s v="PAGO INCAP"/>
    <s v="O003"/>
    <m/>
    <n v="51"/>
    <s v="S"/>
    <n v="1533010002"/>
    <m/>
    <m/>
    <m/>
    <m/>
    <m/>
    <m/>
    <m/>
    <m/>
    <n v="-41028908"/>
    <s v="COP"/>
    <m/>
    <m/>
    <m/>
    <m/>
    <m/>
    <m/>
    <m/>
    <s v="O003001452"/>
    <m/>
    <m/>
    <n v="20241231"/>
    <m/>
    <m/>
    <n v="20241231"/>
    <n v="8002514406"/>
    <m/>
    <m/>
    <s v="PAGO INTERBANC EPS SANITAS S A"/>
    <m/>
    <x v="1"/>
    <n v="41028908"/>
    <n v="12"/>
  </r>
  <r>
    <n v="1"/>
    <s v="SA"/>
    <s v="Pago Incap"/>
    <x v="12"/>
    <d v="2024-12-31T00:00:00"/>
    <s v="PAGO INCAP"/>
    <s v="O003"/>
    <m/>
    <n v="52"/>
    <s v="S"/>
    <n v="1533010002"/>
    <m/>
    <m/>
    <m/>
    <m/>
    <m/>
    <m/>
    <m/>
    <m/>
    <n v="-346672"/>
    <s v="COP"/>
    <m/>
    <m/>
    <m/>
    <m/>
    <m/>
    <m/>
    <m/>
    <s v="O003001452"/>
    <m/>
    <m/>
    <n v="20241231"/>
    <m/>
    <m/>
    <n v="20241231"/>
    <n v="8140003371"/>
    <m/>
    <m/>
    <s v="PAGO INTERBANC EMSSANAR ENTIDA"/>
    <m/>
    <x v="2"/>
    <n v="346672"/>
    <n v="12"/>
  </r>
  <r>
    <n v="1"/>
    <s v="SA"/>
    <s v="Pago Incap"/>
    <x v="12"/>
    <d v="2024-12-31T00:00:00"/>
    <s v="PAGO INCAP"/>
    <s v="O003"/>
    <m/>
    <n v="53"/>
    <s v="S"/>
    <n v="1533010002"/>
    <m/>
    <m/>
    <m/>
    <m/>
    <m/>
    <m/>
    <m/>
    <m/>
    <n v="-10080918"/>
    <s v="COP"/>
    <m/>
    <m/>
    <m/>
    <m/>
    <m/>
    <m/>
    <m/>
    <s v="O003001452"/>
    <m/>
    <m/>
    <n v="20241231"/>
    <m/>
    <m/>
    <n v="20241231"/>
    <n v="8300035647"/>
    <m/>
    <m/>
    <s v="PAGO INTERBANC EPS FAMISANAR S"/>
    <m/>
    <x v="3"/>
    <n v="10080918"/>
    <n v="12"/>
  </r>
  <r>
    <n v="1"/>
    <s v="SA"/>
    <s v="Pago Incap"/>
    <x v="12"/>
    <d v="2024-12-31T00:00:00"/>
    <s v="PAGO INCAP"/>
    <s v="O003"/>
    <m/>
    <n v="54"/>
    <s v="S"/>
    <n v="1533010002"/>
    <m/>
    <m/>
    <m/>
    <m/>
    <m/>
    <m/>
    <m/>
    <m/>
    <n v="-2065703"/>
    <s v="COP"/>
    <m/>
    <m/>
    <m/>
    <m/>
    <m/>
    <m/>
    <m/>
    <s v="O003001452"/>
    <m/>
    <m/>
    <n v="20241231"/>
    <m/>
    <m/>
    <n v="20241231"/>
    <n v="8301138310"/>
    <m/>
    <m/>
    <s v="PAGO DE PROV ALIANSALUD EPS"/>
    <m/>
    <x v="0"/>
    <n v="2065703"/>
    <n v="12"/>
  </r>
  <r>
    <n v="1"/>
    <s v="SA"/>
    <s v="Pago Incap"/>
    <x v="12"/>
    <d v="2024-12-31T00:00:00"/>
    <s v="PAGO INCAP"/>
    <s v="O003"/>
    <m/>
    <n v="55"/>
    <s v="S"/>
    <n v="1533010002"/>
    <m/>
    <m/>
    <m/>
    <m/>
    <m/>
    <m/>
    <m/>
    <m/>
    <n v="-20978790"/>
    <s v="COP"/>
    <m/>
    <m/>
    <m/>
    <m/>
    <m/>
    <m/>
    <m/>
    <s v="O003001452"/>
    <m/>
    <m/>
    <n v="20241231"/>
    <m/>
    <m/>
    <n v="20241231"/>
    <n v="8600021839"/>
    <m/>
    <m/>
    <s v="PAGO INTERBANC AXA COLPATRIA S"/>
    <m/>
    <x v="0"/>
    <n v="20978790"/>
    <n v="12"/>
  </r>
  <r>
    <n v="1"/>
    <s v="SA"/>
    <s v="Pago Incap"/>
    <x v="12"/>
    <d v="2024-12-31T00:00:00"/>
    <s v="PAGO INCAP"/>
    <s v="O003"/>
    <m/>
    <n v="56"/>
    <s v="S"/>
    <n v="1533010002"/>
    <m/>
    <m/>
    <m/>
    <m/>
    <m/>
    <m/>
    <m/>
    <m/>
    <n v="-16535802"/>
    <s v="COP"/>
    <m/>
    <m/>
    <m/>
    <m/>
    <m/>
    <m/>
    <m/>
    <s v="O003001452"/>
    <m/>
    <m/>
    <n v="20241231"/>
    <m/>
    <m/>
    <n v="20241231"/>
    <n v="9001562642"/>
    <m/>
    <m/>
    <s v="PAGO DE PROV NUEVA EPS S A"/>
    <m/>
    <x v="5"/>
    <n v="16535802"/>
    <n v="12"/>
  </r>
  <r>
    <n v="1"/>
    <s v="SA"/>
    <s v="Pago Incap"/>
    <x v="12"/>
    <d v="2024-12-31T00:00:00"/>
    <s v="PAGO INCAP"/>
    <s v="O003"/>
    <m/>
    <n v="57"/>
    <s v="S"/>
    <n v="1533010002"/>
    <m/>
    <m/>
    <m/>
    <m/>
    <m/>
    <m/>
    <m/>
    <m/>
    <n v="-303338"/>
    <s v="COP"/>
    <m/>
    <m/>
    <m/>
    <m/>
    <m/>
    <m/>
    <m/>
    <s v="O003001452"/>
    <m/>
    <m/>
    <n v="20241231"/>
    <m/>
    <m/>
    <n v="20241231"/>
    <n v="9006043500"/>
    <m/>
    <m/>
    <s v="PAGO DE PROV AMA EPS S.A.S"/>
    <m/>
    <x v="0"/>
    <n v="303338"/>
    <n v="12"/>
  </r>
  <r>
    <n v="1"/>
    <s v="SA"/>
    <s v="Pago Incap"/>
    <x v="12"/>
    <d v="2024-12-31T00:00:00"/>
    <s v="PAGO INCAP"/>
    <s v="O003"/>
    <m/>
    <n v="59"/>
    <s v="S"/>
    <n v="1533010002"/>
    <m/>
    <m/>
    <m/>
    <m/>
    <m/>
    <m/>
    <m/>
    <m/>
    <n v="-3573000"/>
    <s v="COP"/>
    <m/>
    <m/>
    <m/>
    <m/>
    <m/>
    <m/>
    <m/>
    <s v="O003001452"/>
    <m/>
    <m/>
    <n v="20241231"/>
    <m/>
    <m/>
    <n v="20241231"/>
    <n v="1019098648"/>
    <m/>
    <m/>
    <s v="Devolucion Empleado NOMINA"/>
    <m/>
    <x v="0"/>
    <n v="3573000"/>
    <n v="12"/>
  </r>
  <r>
    <n v="1"/>
    <s v="SA"/>
    <s v="Pago Incap"/>
    <x v="12"/>
    <d v="2024-12-31T00:00:00"/>
    <s v="PAGO INCAP"/>
    <s v="O003"/>
    <m/>
    <n v="63"/>
    <s v="S"/>
    <n v="1533010002"/>
    <m/>
    <m/>
    <m/>
    <m/>
    <m/>
    <m/>
    <m/>
    <m/>
    <n v="-2114491"/>
    <s v="COP"/>
    <m/>
    <m/>
    <m/>
    <m/>
    <m/>
    <m/>
    <m/>
    <s v="O003001452"/>
    <m/>
    <m/>
    <n v="20241231"/>
    <m/>
    <m/>
    <n v="20241231"/>
    <n v="8002514406"/>
    <m/>
    <m/>
    <s v="PAGO INTERBANC EPS SANITAS S A"/>
    <m/>
    <x v="1"/>
    <n v="2114491"/>
    <n v="12"/>
  </r>
  <r>
    <n v="1"/>
    <s v="SA"/>
    <s v="Pago Incap"/>
    <x v="12"/>
    <d v="2024-12-31T00:00:00"/>
    <s v="PAGO INCAP"/>
    <s v="O003"/>
    <m/>
    <n v="64"/>
    <s v="S"/>
    <n v="1533010002"/>
    <m/>
    <m/>
    <m/>
    <m/>
    <m/>
    <m/>
    <m/>
    <m/>
    <n v="-4997209"/>
    <s v="COP"/>
    <m/>
    <m/>
    <m/>
    <m/>
    <m/>
    <m/>
    <m/>
    <s v="O003001452"/>
    <m/>
    <m/>
    <n v="20241231"/>
    <m/>
    <m/>
    <n v="20241231"/>
    <n v="9001562642"/>
    <m/>
    <m/>
    <s v="PAGO DE PROV NUEVA EPS S A"/>
    <m/>
    <x v="5"/>
    <n v="4997209"/>
    <n v="12"/>
  </r>
  <r>
    <n v="1"/>
    <s v="SA"/>
    <s v="Pago Incap"/>
    <x v="12"/>
    <d v="2024-12-31T00:00:00"/>
    <s v="PAGO INCAP"/>
    <s v="O003"/>
    <m/>
    <n v="65"/>
    <s v="S"/>
    <n v="1533010002"/>
    <m/>
    <m/>
    <m/>
    <m/>
    <m/>
    <m/>
    <m/>
    <m/>
    <n v="-1286227"/>
    <s v="COP"/>
    <m/>
    <m/>
    <m/>
    <m/>
    <m/>
    <m/>
    <m/>
    <s v="O003001452"/>
    <m/>
    <m/>
    <n v="20241231"/>
    <m/>
    <m/>
    <n v="20241231"/>
    <n v="8002514406"/>
    <m/>
    <m/>
    <s v="PAGO INTERBANC EPS SANITAS S A"/>
    <m/>
    <x v="1"/>
    <n v="1286227"/>
    <n v="12"/>
  </r>
  <r>
    <n v="1"/>
    <s v="SA"/>
    <s v="Pago Incap"/>
    <x v="13"/>
    <d v="2025-01-31T00:00:00"/>
    <s v="PAGO INCAP"/>
    <s v="O003"/>
    <m/>
    <n v="107"/>
    <s v="S"/>
    <n v="1533010002"/>
    <m/>
    <m/>
    <m/>
    <m/>
    <m/>
    <m/>
    <m/>
    <m/>
    <n v="-34987516"/>
    <s v="COP"/>
    <m/>
    <m/>
    <m/>
    <m/>
    <m/>
    <m/>
    <m/>
    <s v="O003001452"/>
    <m/>
    <m/>
    <n v="20250131"/>
    <m/>
    <m/>
    <n v="20250131"/>
    <n v="8000887022"/>
    <m/>
    <m/>
    <s v="PAGO DE PROV EPS SURAMERICAN"/>
    <m/>
    <x v="6"/>
    <n v="34987516"/>
    <n v="1"/>
  </r>
  <r>
    <n v="1"/>
    <s v="SA"/>
    <s v="Pago Incap"/>
    <x v="13"/>
    <d v="2025-01-31T00:00:00"/>
    <s v="PAGO INCAP"/>
    <s v="O003"/>
    <m/>
    <n v="108"/>
    <s v="S"/>
    <n v="1533010002"/>
    <m/>
    <m/>
    <m/>
    <m/>
    <m/>
    <m/>
    <m/>
    <m/>
    <n v="-26474090"/>
    <s v="COP"/>
    <m/>
    <m/>
    <m/>
    <m/>
    <m/>
    <m/>
    <m/>
    <s v="O003001452"/>
    <m/>
    <m/>
    <n v="20250131"/>
    <m/>
    <m/>
    <n v="20250131"/>
    <n v="8001309074"/>
    <m/>
    <m/>
    <s v="PAGO INTERBANC SALUD-TOTAL-EPS"/>
    <m/>
    <x v="0"/>
    <n v="26474090"/>
    <n v="1"/>
  </r>
  <r>
    <n v="1"/>
    <s v="SA"/>
    <s v="Pago Incap"/>
    <x v="13"/>
    <d v="2025-01-31T00:00:00"/>
    <s v="PAGO INCAP"/>
    <s v="O003"/>
    <m/>
    <n v="109"/>
    <s v="S"/>
    <n v="1533010002"/>
    <m/>
    <m/>
    <m/>
    <m/>
    <m/>
    <m/>
    <m/>
    <m/>
    <n v="-519518"/>
    <s v="COP"/>
    <m/>
    <m/>
    <m/>
    <m/>
    <m/>
    <m/>
    <m/>
    <s v="O003001452"/>
    <m/>
    <m/>
    <n v="20250131"/>
    <m/>
    <m/>
    <n v="20250131"/>
    <n v="8002261753"/>
    <m/>
    <m/>
    <s v="PAGO INTERBANC COLMENA RIESGOS"/>
    <m/>
    <x v="0"/>
    <n v="519518"/>
    <n v="1"/>
  </r>
  <r>
    <n v="1"/>
    <s v="SA"/>
    <s v="Pago Incap"/>
    <x v="13"/>
    <d v="2025-01-31T00:00:00"/>
    <s v="PAGO INCAP"/>
    <s v="O003"/>
    <m/>
    <n v="110"/>
    <s v="S"/>
    <n v="1533010002"/>
    <m/>
    <m/>
    <m/>
    <m/>
    <m/>
    <m/>
    <m/>
    <m/>
    <n v="-7592010"/>
    <s v="COP"/>
    <m/>
    <m/>
    <m/>
    <m/>
    <m/>
    <m/>
    <m/>
    <s v="O003001452"/>
    <m/>
    <m/>
    <n v="20250131"/>
    <m/>
    <m/>
    <n v="20250131"/>
    <n v="8002492410"/>
    <m/>
    <m/>
    <s v="PAGO INTERBANC COOSALUD-ENTIDA"/>
    <m/>
    <x v="0"/>
    <n v="7592010"/>
    <n v="1"/>
  </r>
  <r>
    <n v="1"/>
    <s v="SA"/>
    <s v="Pago Incap"/>
    <x v="13"/>
    <d v="2025-01-31T00:00:00"/>
    <s v="PAGO INCAP"/>
    <s v="O003"/>
    <m/>
    <n v="111"/>
    <s v="S"/>
    <n v="1533010002"/>
    <m/>
    <m/>
    <m/>
    <m/>
    <m/>
    <m/>
    <m/>
    <m/>
    <n v="-101919538"/>
    <s v="COP"/>
    <m/>
    <m/>
    <m/>
    <m/>
    <m/>
    <m/>
    <m/>
    <s v="O003001452"/>
    <m/>
    <m/>
    <n v="20250131"/>
    <m/>
    <m/>
    <n v="20250131"/>
    <n v="8002514406"/>
    <m/>
    <m/>
    <s v="PAGO INTERBANC EPS SANITAS S A"/>
    <m/>
    <x v="1"/>
    <n v="101919538"/>
    <n v="1"/>
  </r>
  <r>
    <n v="1"/>
    <s v="SA"/>
    <s v="Pago Incap"/>
    <x v="13"/>
    <d v="2025-01-31T00:00:00"/>
    <s v="PAGO INCAP"/>
    <s v="O003"/>
    <m/>
    <n v="112"/>
    <s v="S"/>
    <n v="1533010002"/>
    <m/>
    <m/>
    <m/>
    <m/>
    <m/>
    <m/>
    <m/>
    <m/>
    <n v="-43334"/>
    <s v="COP"/>
    <m/>
    <m/>
    <m/>
    <m/>
    <m/>
    <m/>
    <m/>
    <s v="O003001452"/>
    <m/>
    <m/>
    <n v="20250131"/>
    <m/>
    <m/>
    <n v="20250131"/>
    <n v="8060083947"/>
    <m/>
    <m/>
    <s v="PAGO DE PROV ASOCIACION MUTU"/>
    <m/>
    <x v="0"/>
    <n v="43334"/>
    <n v="1"/>
  </r>
  <r>
    <n v="1"/>
    <s v="SA"/>
    <s v="Pago Incap"/>
    <x v="13"/>
    <d v="2025-01-31T00:00:00"/>
    <s v="PAGO INCAP"/>
    <s v="O003"/>
    <m/>
    <n v="113"/>
    <s v="S"/>
    <n v="1533010002"/>
    <m/>
    <m/>
    <m/>
    <m/>
    <m/>
    <m/>
    <m/>
    <m/>
    <n v="-173335"/>
    <s v="COP"/>
    <m/>
    <m/>
    <m/>
    <m/>
    <m/>
    <m/>
    <m/>
    <s v="O003001452"/>
    <m/>
    <m/>
    <n v="20250131"/>
    <m/>
    <m/>
    <n v="20250131"/>
    <n v="8060083947"/>
    <m/>
    <m/>
    <s v="PAGO INTERBANC MUTUAL SER EPS"/>
    <m/>
    <x v="0"/>
    <n v="173335"/>
    <n v="1"/>
  </r>
  <r>
    <n v="1"/>
    <s v="SA"/>
    <s v="Pago Incap"/>
    <x v="13"/>
    <d v="2025-01-31T00:00:00"/>
    <s v="PAGO INCAP"/>
    <s v="O003"/>
    <m/>
    <n v="114"/>
    <s v="S"/>
    <n v="1533010002"/>
    <m/>
    <m/>
    <m/>
    <m/>
    <m/>
    <m/>
    <m/>
    <m/>
    <n v="-2773376"/>
    <s v="COP"/>
    <m/>
    <m/>
    <m/>
    <m/>
    <m/>
    <m/>
    <m/>
    <s v="O003001452"/>
    <m/>
    <m/>
    <n v="20250131"/>
    <m/>
    <m/>
    <n v="20250131"/>
    <n v="8140003371"/>
    <m/>
    <m/>
    <s v="PAGO INTERBANC EMSSANAR ENTIDA"/>
    <m/>
    <x v="2"/>
    <n v="2773376"/>
    <n v="1"/>
  </r>
  <r>
    <n v="1"/>
    <s v="SA"/>
    <s v="Pago Incap"/>
    <x v="13"/>
    <d v="2025-01-31T00:00:00"/>
    <s v="PAGO INCAP"/>
    <s v="O003"/>
    <m/>
    <n v="115"/>
    <s v="S"/>
    <n v="1533010002"/>
    <m/>
    <m/>
    <m/>
    <m/>
    <m/>
    <m/>
    <m/>
    <m/>
    <n v="-20452664"/>
    <s v="COP"/>
    <m/>
    <m/>
    <m/>
    <m/>
    <m/>
    <m/>
    <m/>
    <s v="O003001452"/>
    <m/>
    <m/>
    <n v="20250131"/>
    <m/>
    <m/>
    <n v="20250131"/>
    <n v="8300035647"/>
    <m/>
    <m/>
    <s v="PAGO INTERBANC EPS FAMISANAR S"/>
    <m/>
    <x v="3"/>
    <n v="20452664"/>
    <n v="1"/>
  </r>
  <r>
    <n v="1"/>
    <s v="SA"/>
    <s v="Pago Incap"/>
    <x v="13"/>
    <d v="2025-01-31T00:00:00"/>
    <s v="PAGO INCAP"/>
    <s v="O003"/>
    <m/>
    <n v="116"/>
    <s v="S"/>
    <n v="1533010002"/>
    <m/>
    <m/>
    <m/>
    <m/>
    <m/>
    <m/>
    <m/>
    <m/>
    <n v="-1059871"/>
    <s v="COP"/>
    <m/>
    <m/>
    <m/>
    <m/>
    <m/>
    <m/>
    <m/>
    <s v="O003001452"/>
    <m/>
    <m/>
    <n v="20250131"/>
    <m/>
    <m/>
    <n v="20250131"/>
    <n v="8301138310"/>
    <m/>
    <m/>
    <s v="PAGO DE PROV ALIANSALUD EPS"/>
    <m/>
    <x v="0"/>
    <n v="1059871"/>
    <n v="1"/>
  </r>
  <r>
    <n v="1"/>
    <s v="SA"/>
    <s v="Pago Incap"/>
    <x v="13"/>
    <d v="2025-01-31T00:00:00"/>
    <s v="PAGO INCAP"/>
    <s v="O003"/>
    <m/>
    <n v="117"/>
    <s v="S"/>
    <n v="1533010002"/>
    <m/>
    <m/>
    <m/>
    <m/>
    <m/>
    <m/>
    <m/>
    <m/>
    <n v="-16184248"/>
    <s v="COP"/>
    <m/>
    <m/>
    <m/>
    <m/>
    <m/>
    <m/>
    <m/>
    <s v="O003001452"/>
    <m/>
    <m/>
    <n v="20250131"/>
    <m/>
    <m/>
    <n v="20250131"/>
    <n v="8600021839"/>
    <m/>
    <m/>
    <s v="PAGO INTERBANC AXA COLPATRIA S"/>
    <m/>
    <x v="0"/>
    <n v="16184248"/>
    <n v="1"/>
  </r>
  <r>
    <n v="1"/>
    <s v="SA"/>
    <s v="Pago Incap"/>
    <x v="13"/>
    <d v="2025-01-31T00:00:00"/>
    <s v="PAGO INCAP"/>
    <s v="O003"/>
    <m/>
    <n v="118"/>
    <s v="S"/>
    <n v="1533010002"/>
    <m/>
    <m/>
    <m/>
    <m/>
    <m/>
    <m/>
    <m/>
    <m/>
    <n v="-18219531"/>
    <s v="COP"/>
    <m/>
    <m/>
    <m/>
    <m/>
    <m/>
    <m/>
    <m/>
    <s v="O003001452"/>
    <m/>
    <m/>
    <n v="20250131"/>
    <m/>
    <m/>
    <n v="20250131"/>
    <n v="8600669427"/>
    <m/>
    <m/>
    <s v="PAGO INTERBANC CAJA DE COMPENS"/>
    <m/>
    <x v="4"/>
    <n v="18219531"/>
    <n v="1"/>
  </r>
  <r>
    <n v="1"/>
    <s v="SA"/>
    <s v="Pago Incap"/>
    <x v="13"/>
    <d v="2025-01-31T00:00:00"/>
    <s v="PAGO INCAP"/>
    <s v="O003"/>
    <m/>
    <n v="119"/>
    <s v="S"/>
    <n v="1533010002"/>
    <m/>
    <m/>
    <m/>
    <m/>
    <m/>
    <m/>
    <m/>
    <m/>
    <n v="-224700"/>
    <s v="COP"/>
    <m/>
    <m/>
    <m/>
    <m/>
    <m/>
    <m/>
    <m/>
    <s v="O003001452"/>
    <m/>
    <m/>
    <n v="20250131"/>
    <m/>
    <m/>
    <n v="20250131"/>
    <n v="8600669427"/>
    <m/>
    <m/>
    <s v="PAGO INTERBANC COMFENALCO"/>
    <m/>
    <x v="4"/>
    <n v="224700"/>
    <n v="1"/>
  </r>
  <r>
    <n v="1"/>
    <s v="SA"/>
    <s v="Pago Incap"/>
    <x v="13"/>
    <d v="2025-01-31T00:00:00"/>
    <s v="PAGO INCAP"/>
    <s v="O003"/>
    <m/>
    <n v="120"/>
    <s v="S"/>
    <n v="1533010002"/>
    <m/>
    <m/>
    <m/>
    <m/>
    <m/>
    <m/>
    <m/>
    <m/>
    <n v="-26277515"/>
    <s v="COP"/>
    <m/>
    <m/>
    <m/>
    <m/>
    <m/>
    <m/>
    <m/>
    <s v="O003001452"/>
    <m/>
    <m/>
    <n v="20250131"/>
    <m/>
    <m/>
    <n v="20250131"/>
    <n v="9001562642"/>
    <m/>
    <m/>
    <s v="PAGO DE PROV NUEVA EPS S A"/>
    <m/>
    <x v="5"/>
    <n v="26277515"/>
    <n v="1"/>
  </r>
  <r>
    <n v="1"/>
    <s v="SA"/>
    <s v="Pago Incap"/>
    <x v="13"/>
    <d v="2025-01-31T00:00:00"/>
    <s v="PAGO INCAP"/>
    <s v="O003"/>
    <m/>
    <n v="121"/>
    <s v="S"/>
    <n v="1533010002"/>
    <m/>
    <m/>
    <m/>
    <m/>
    <m/>
    <m/>
    <m/>
    <m/>
    <n v="-969734"/>
    <s v="COP"/>
    <m/>
    <m/>
    <m/>
    <m/>
    <m/>
    <m/>
    <m/>
    <s v="O003001452"/>
    <m/>
    <m/>
    <n v="20250131"/>
    <m/>
    <m/>
    <n v="20250131"/>
    <n v="9009142541"/>
    <m/>
    <m/>
    <s v="PAGO INTERBANC FUNDACION SALUD"/>
    <m/>
    <x v="0"/>
    <n v="969734"/>
    <n v="1"/>
  </r>
  <r>
    <n v="1"/>
    <s v="SA"/>
    <s v="Pago Incap"/>
    <x v="13"/>
    <d v="2025-01-31T00:00:00"/>
    <s v="PAGO INCAP"/>
    <s v="O003"/>
    <m/>
    <n v="122"/>
    <s v="S"/>
    <n v="1533010002"/>
    <m/>
    <m/>
    <m/>
    <m/>
    <m/>
    <m/>
    <m/>
    <m/>
    <n v="-130000"/>
    <s v="COP"/>
    <m/>
    <m/>
    <m/>
    <m/>
    <m/>
    <m/>
    <m/>
    <s v="O003001452"/>
    <m/>
    <m/>
    <n v="20250131"/>
    <m/>
    <m/>
    <n v="20250131"/>
    <n v="8002492410"/>
    <m/>
    <m/>
    <s v="PAGO INTERBANC COOSALUD-ENTIDA"/>
    <m/>
    <x v="0"/>
    <n v="130000"/>
    <n v="1"/>
  </r>
  <r>
    <n v="1"/>
    <s v="SA"/>
    <s v="Pago Incap"/>
    <x v="13"/>
    <d v="2025-01-31T00:00:00"/>
    <s v="PAGO INCAP"/>
    <s v="O003"/>
    <m/>
    <n v="123"/>
    <s v="S"/>
    <n v="1533010002"/>
    <m/>
    <m/>
    <m/>
    <m/>
    <m/>
    <m/>
    <m/>
    <m/>
    <n v="-35011850"/>
    <s v="COP"/>
    <m/>
    <m/>
    <m/>
    <m/>
    <m/>
    <m/>
    <m/>
    <s v="O003001452"/>
    <m/>
    <m/>
    <n v="20250131"/>
    <m/>
    <m/>
    <n v="20250131"/>
    <n v="8600669427"/>
    <m/>
    <m/>
    <s v="PAGO INTERBANC CAJA DE COMPENS"/>
    <m/>
    <x v="4"/>
    <n v="35011850"/>
    <n v="1"/>
  </r>
  <r>
    <n v="1"/>
    <s v="SA"/>
    <s v="Pago Incap"/>
    <x v="13"/>
    <d v="2025-01-31T00:00:00"/>
    <s v="PAGO INCAP"/>
    <s v="O003"/>
    <m/>
    <n v="124"/>
    <s v="S"/>
    <n v="1533010002"/>
    <m/>
    <m/>
    <m/>
    <m/>
    <m/>
    <m/>
    <m/>
    <m/>
    <n v="-93329"/>
    <s v="COP"/>
    <m/>
    <m/>
    <m/>
    <m/>
    <m/>
    <m/>
    <m/>
    <s v="O003001452"/>
    <m/>
    <m/>
    <n v="20250131"/>
    <m/>
    <m/>
    <n v="20250131"/>
    <n v="8909049961"/>
    <m/>
    <m/>
    <s v="EPM"/>
    <m/>
    <x v="0"/>
    <n v="93329"/>
    <n v="1"/>
  </r>
  <r>
    <n v="1"/>
    <s v="SA"/>
    <s v="Pago Incap"/>
    <x v="13"/>
    <d v="2025-01-31T00:00:00"/>
    <s v="PAGO INCAP"/>
    <s v="O003"/>
    <m/>
    <n v="2"/>
    <s v="S"/>
    <n v="1533010002"/>
    <m/>
    <m/>
    <m/>
    <m/>
    <m/>
    <m/>
    <m/>
    <m/>
    <n v="-29688"/>
    <s v="COP"/>
    <m/>
    <m/>
    <m/>
    <m/>
    <m/>
    <m/>
    <m/>
    <s v="O003001452"/>
    <m/>
    <m/>
    <n v="20250131"/>
    <m/>
    <m/>
    <n v="20250131"/>
    <n v="8909049961"/>
    <m/>
    <m/>
    <s v="EPM"/>
    <m/>
    <x v="0"/>
    <n v="29688"/>
    <n v="1"/>
  </r>
  <r>
    <n v="1"/>
    <s v="SA"/>
    <s v="Pago Incap"/>
    <x v="14"/>
    <d v="2025-02-28T00:00:00"/>
    <s v="PAGO INCAP"/>
    <s v="O003"/>
    <m/>
    <n v="191"/>
    <s v="S"/>
    <n v="1533010002"/>
    <m/>
    <m/>
    <m/>
    <m/>
    <m/>
    <m/>
    <m/>
    <m/>
    <n v="-21928817"/>
    <s v="COP"/>
    <m/>
    <m/>
    <m/>
    <m/>
    <m/>
    <m/>
    <m/>
    <s v="O003001452"/>
    <m/>
    <m/>
    <n v="20250228"/>
    <m/>
    <m/>
    <n v="20250228"/>
    <n v="8000887022"/>
    <m/>
    <m/>
    <s v="PAGO DE PROV EPS SURAMERICAN"/>
    <m/>
    <x v="6"/>
    <n v="21928817"/>
    <n v="2"/>
  </r>
  <r>
    <n v="1"/>
    <s v="SA"/>
    <s v="Pago Incap"/>
    <x v="14"/>
    <d v="2025-02-28T00:00:00"/>
    <s v="PAGO INCAP"/>
    <s v="O003"/>
    <m/>
    <n v="192"/>
    <s v="S"/>
    <n v="1533010002"/>
    <m/>
    <m/>
    <m/>
    <m/>
    <m/>
    <m/>
    <m/>
    <m/>
    <n v="-13779397"/>
    <s v="COP"/>
    <m/>
    <m/>
    <m/>
    <m/>
    <m/>
    <m/>
    <m/>
    <s v="O003001452"/>
    <m/>
    <m/>
    <n v="20250228"/>
    <m/>
    <m/>
    <n v="20250228"/>
    <n v="8001309074"/>
    <m/>
    <m/>
    <s v="PAGO INTERBANC SALUD-TOTAL-EPS"/>
    <m/>
    <x v="0"/>
    <n v="13779397"/>
    <n v="2"/>
  </r>
  <r>
    <n v="1"/>
    <s v="SA"/>
    <s v="Pago Incap"/>
    <x v="14"/>
    <d v="2025-02-28T00:00:00"/>
    <s v="PAGO INCAP"/>
    <s v="O003"/>
    <m/>
    <n v="193"/>
    <s v="S"/>
    <n v="1533010002"/>
    <m/>
    <m/>
    <m/>
    <m/>
    <m/>
    <m/>
    <m/>
    <m/>
    <n v="-5204117"/>
    <s v="COP"/>
    <m/>
    <m/>
    <m/>
    <m/>
    <m/>
    <m/>
    <m/>
    <s v="O003001452"/>
    <m/>
    <m/>
    <n v="20250228"/>
    <m/>
    <m/>
    <n v="20250228"/>
    <n v="8002492410"/>
    <m/>
    <m/>
    <s v="PAGO INTERBANC COOSALUD-ENTIDA"/>
    <m/>
    <x v="0"/>
    <n v="5204117"/>
    <n v="2"/>
  </r>
  <r>
    <n v="1"/>
    <s v="SA"/>
    <s v="Pago Incap"/>
    <x v="14"/>
    <d v="2025-02-28T00:00:00"/>
    <s v="PAGO INCAP"/>
    <s v="O003"/>
    <m/>
    <n v="194"/>
    <s v="S"/>
    <n v="1533010002"/>
    <m/>
    <m/>
    <m/>
    <m/>
    <m/>
    <m/>
    <m/>
    <m/>
    <n v="-28467048"/>
    <s v="COP"/>
    <m/>
    <m/>
    <m/>
    <m/>
    <m/>
    <m/>
    <m/>
    <s v="O003001452"/>
    <m/>
    <m/>
    <n v="20250228"/>
    <m/>
    <m/>
    <n v="20250228"/>
    <n v="8002514406"/>
    <m/>
    <m/>
    <s v="PAGO INTERBANC EPS SANITAS S A"/>
    <m/>
    <x v="1"/>
    <n v="28467048"/>
    <n v="2"/>
  </r>
  <r>
    <n v="1"/>
    <s v="SA"/>
    <s v="Pago Incap"/>
    <x v="14"/>
    <d v="2025-02-28T00:00:00"/>
    <s v="PAGO INCAP"/>
    <s v="O003"/>
    <m/>
    <n v="195"/>
    <s v="S"/>
    <n v="1533010002"/>
    <m/>
    <m/>
    <m/>
    <m/>
    <m/>
    <m/>
    <m/>
    <m/>
    <n v="-5517667"/>
    <s v="COP"/>
    <m/>
    <m/>
    <m/>
    <m/>
    <m/>
    <m/>
    <m/>
    <s v="O003001452"/>
    <m/>
    <m/>
    <n v="20250228"/>
    <m/>
    <m/>
    <n v="20250228"/>
    <n v="8050011572"/>
    <m/>
    <m/>
    <s v="PAGO INTERBANC EPS  SOS S A"/>
    <m/>
    <x v="0"/>
    <n v="5517667"/>
    <n v="2"/>
  </r>
  <r>
    <n v="1"/>
    <s v="SA"/>
    <s v="Pago Incap"/>
    <x v="14"/>
    <d v="2025-02-28T00:00:00"/>
    <s v="PAGO INCAP"/>
    <s v="O003"/>
    <m/>
    <n v="196"/>
    <s v="S"/>
    <n v="1533010002"/>
    <m/>
    <m/>
    <m/>
    <m/>
    <m/>
    <m/>
    <m/>
    <m/>
    <n v="-6226520"/>
    <s v="COP"/>
    <m/>
    <m/>
    <m/>
    <m/>
    <m/>
    <m/>
    <m/>
    <s v="O003001452"/>
    <m/>
    <m/>
    <n v="20250228"/>
    <m/>
    <m/>
    <n v="20250228"/>
    <n v="8060083947"/>
    <m/>
    <m/>
    <s v="PAGO INTERBANC MUTUAL SER EPS"/>
    <m/>
    <x v="0"/>
    <n v="6226520"/>
    <n v="2"/>
  </r>
  <r>
    <n v="1"/>
    <s v="SA"/>
    <s v="Pago Incap"/>
    <x v="14"/>
    <d v="2025-02-28T00:00:00"/>
    <s v="PAGO INCAP"/>
    <s v="O003"/>
    <m/>
    <n v="197"/>
    <s v="S"/>
    <n v="1533010002"/>
    <m/>
    <m/>
    <m/>
    <m/>
    <m/>
    <m/>
    <m/>
    <m/>
    <n v="-694389"/>
    <s v="COP"/>
    <m/>
    <m/>
    <m/>
    <m/>
    <m/>
    <m/>
    <m/>
    <s v="O003001452"/>
    <m/>
    <m/>
    <n v="20250228"/>
    <m/>
    <m/>
    <n v="20250228"/>
    <n v="8140003371"/>
    <m/>
    <m/>
    <s v="PAGO INTERBANC EMSSANAR ENTIDA"/>
    <m/>
    <x v="2"/>
    <n v="694389"/>
    <n v="2"/>
  </r>
  <r>
    <n v="1"/>
    <s v="SA"/>
    <s v="Pago Incap"/>
    <x v="14"/>
    <d v="2025-02-28T00:00:00"/>
    <s v="PAGO INCAP"/>
    <s v="O003"/>
    <m/>
    <n v="198"/>
    <s v="S"/>
    <n v="1533010002"/>
    <m/>
    <m/>
    <m/>
    <m/>
    <m/>
    <m/>
    <m/>
    <m/>
    <n v="-130002"/>
    <s v="COP"/>
    <m/>
    <m/>
    <m/>
    <m/>
    <m/>
    <m/>
    <m/>
    <s v="O003001452"/>
    <m/>
    <m/>
    <n v="20250228"/>
    <m/>
    <m/>
    <n v="20250228"/>
    <n v="8170002483"/>
    <m/>
    <m/>
    <s v="PAGO INTERBANC ASMET SALUD EPS"/>
    <m/>
    <x v="0"/>
    <n v="130002"/>
    <n v="2"/>
  </r>
  <r>
    <n v="1"/>
    <s v="SA"/>
    <s v="Pago Incap"/>
    <x v="14"/>
    <d v="2025-02-28T00:00:00"/>
    <s v="PAGO INCAP"/>
    <s v="O003"/>
    <m/>
    <n v="199"/>
    <s v="S"/>
    <n v="1533010002"/>
    <m/>
    <m/>
    <m/>
    <m/>
    <m/>
    <m/>
    <m/>
    <m/>
    <n v="-9250148"/>
    <s v="COP"/>
    <m/>
    <m/>
    <m/>
    <m/>
    <m/>
    <m/>
    <m/>
    <s v="O003001452"/>
    <m/>
    <m/>
    <n v="20250228"/>
    <m/>
    <m/>
    <n v="20250228"/>
    <n v="8300035647"/>
    <m/>
    <m/>
    <s v="PAGO INTERBANC EPS FAMISANAR S"/>
    <m/>
    <x v="3"/>
    <n v="9250148"/>
    <n v="2"/>
  </r>
  <r>
    <n v="1"/>
    <s v="SA"/>
    <s v="Pago Incap"/>
    <x v="14"/>
    <d v="2025-02-28T00:00:00"/>
    <s v="PAGO INCAP"/>
    <s v="O003"/>
    <m/>
    <n v="200"/>
    <s v="S"/>
    <n v="1533010002"/>
    <m/>
    <m/>
    <m/>
    <m/>
    <m/>
    <m/>
    <m/>
    <m/>
    <n v="-3666094"/>
    <s v="COP"/>
    <m/>
    <m/>
    <m/>
    <m/>
    <m/>
    <m/>
    <m/>
    <s v="O003001452"/>
    <m/>
    <m/>
    <n v="20250228"/>
    <m/>
    <m/>
    <n v="20250228"/>
    <n v="8301138310"/>
    <m/>
    <m/>
    <s v="PAGO DE PROV ALIANSALUD EPS"/>
    <m/>
    <x v="0"/>
    <n v="3666094"/>
    <n v="2"/>
  </r>
  <r>
    <n v="1"/>
    <s v="SA"/>
    <s v="Pago Incap"/>
    <x v="14"/>
    <d v="2025-02-28T00:00:00"/>
    <s v="PAGO INCAP"/>
    <s v="O003"/>
    <m/>
    <n v="201"/>
    <s v="S"/>
    <n v="1533010002"/>
    <m/>
    <m/>
    <m/>
    <m/>
    <m/>
    <m/>
    <m/>
    <m/>
    <n v="-33934249"/>
    <s v="COP"/>
    <m/>
    <m/>
    <m/>
    <m/>
    <m/>
    <m/>
    <m/>
    <s v="O003001452"/>
    <m/>
    <m/>
    <n v="20250228"/>
    <m/>
    <m/>
    <n v="20250228"/>
    <n v="8600021839"/>
    <m/>
    <m/>
    <s v="PAGO INTERBANC AXA COLPATRIA S"/>
    <m/>
    <x v="0"/>
    <n v="33934249"/>
    <n v="2"/>
  </r>
  <r>
    <n v="1"/>
    <s v="SA"/>
    <s v="Pago Incap"/>
    <x v="14"/>
    <d v="2025-02-28T00:00:00"/>
    <s v="PAGO INCAP"/>
    <s v="O003"/>
    <m/>
    <n v="202"/>
    <s v="S"/>
    <n v="1533010002"/>
    <m/>
    <m/>
    <m/>
    <m/>
    <m/>
    <m/>
    <m/>
    <m/>
    <n v="-21605507"/>
    <s v="COP"/>
    <m/>
    <m/>
    <m/>
    <m/>
    <m/>
    <m/>
    <m/>
    <s v="O003001452"/>
    <m/>
    <m/>
    <n v="20250228"/>
    <m/>
    <m/>
    <n v="20250228"/>
    <n v="8600669427"/>
    <m/>
    <m/>
    <s v="PAGO INTERBANC CAJA DE COMPENS"/>
    <m/>
    <x v="4"/>
    <n v="21605507"/>
    <n v="2"/>
  </r>
  <r>
    <n v="1"/>
    <s v="SA"/>
    <s v="Pago Incap"/>
    <x v="14"/>
    <d v="2025-02-28T00:00:00"/>
    <s v="PAGO INCAP"/>
    <s v="O003"/>
    <m/>
    <n v="203"/>
    <s v="S"/>
    <n v="1533010002"/>
    <m/>
    <m/>
    <m/>
    <m/>
    <m/>
    <m/>
    <m/>
    <m/>
    <n v="-349600"/>
    <s v="COP"/>
    <m/>
    <m/>
    <m/>
    <m/>
    <m/>
    <m/>
    <m/>
    <s v="O003001452"/>
    <m/>
    <m/>
    <n v="20250228"/>
    <m/>
    <m/>
    <n v="20250228"/>
    <n v="8902015787"/>
    <m/>
    <m/>
    <s v="PAGO INTERBANC CAJA DE COMPENS"/>
    <m/>
    <x v="0"/>
    <n v="349600"/>
    <n v="2"/>
  </r>
  <r>
    <n v="1"/>
    <s v="SA"/>
    <s v="Pago Incap"/>
    <x v="14"/>
    <d v="2025-02-28T00:00:00"/>
    <s v="PAGO INCAP"/>
    <s v="O003"/>
    <m/>
    <n v="204"/>
    <s v="S"/>
    <n v="1533010002"/>
    <m/>
    <m/>
    <m/>
    <m/>
    <m/>
    <m/>
    <m/>
    <m/>
    <n v="-5460000"/>
    <s v="COP"/>
    <m/>
    <m/>
    <m/>
    <m/>
    <m/>
    <m/>
    <m/>
    <s v="O003001452"/>
    <m/>
    <m/>
    <n v="20250228"/>
    <m/>
    <m/>
    <n v="20250228"/>
    <n v="8918560007"/>
    <m/>
    <m/>
    <s v="PAGO INTERBANC CAPRESOCA EPS"/>
    <m/>
    <x v="0"/>
    <n v="5460000"/>
    <n v="2"/>
  </r>
  <r>
    <n v="1"/>
    <s v="SA"/>
    <s v="Pago Incap"/>
    <x v="14"/>
    <d v="2025-02-28T00:00:00"/>
    <s v="PAGO INCAP"/>
    <s v="O003"/>
    <m/>
    <n v="205"/>
    <s v="S"/>
    <n v="1533010002"/>
    <m/>
    <m/>
    <m/>
    <m/>
    <m/>
    <m/>
    <m/>
    <m/>
    <n v="-36999499"/>
    <s v="COP"/>
    <m/>
    <m/>
    <m/>
    <m/>
    <m/>
    <m/>
    <m/>
    <s v="O003001452"/>
    <m/>
    <m/>
    <n v="20250228"/>
    <m/>
    <m/>
    <n v="20250228"/>
    <n v="9001562642"/>
    <m/>
    <m/>
    <s v="PAGO DE PROV NUEVA EPS S A"/>
    <m/>
    <x v="5"/>
    <n v="36999499"/>
    <n v="2"/>
  </r>
  <r>
    <n v="1"/>
    <s v="SA"/>
    <s v="Pago Incap"/>
    <x v="14"/>
    <d v="2025-02-28T00:00:00"/>
    <s v="PAGO INCAP"/>
    <s v="O003"/>
    <m/>
    <n v="206"/>
    <s v="S"/>
    <n v="1533010002"/>
    <m/>
    <m/>
    <m/>
    <m/>
    <m/>
    <m/>
    <m/>
    <m/>
    <n v="-5460000"/>
    <s v="COP"/>
    <m/>
    <m/>
    <m/>
    <m/>
    <m/>
    <m/>
    <m/>
    <s v="O003001452"/>
    <m/>
    <m/>
    <n v="20250228"/>
    <m/>
    <m/>
    <n v="20250228"/>
    <n v="9002983729"/>
    <m/>
    <m/>
    <s v="PAGO DE PROV CAPITAL SALUD E"/>
    <m/>
    <x v="0"/>
    <n v="5460000"/>
    <n v="2"/>
  </r>
  <r>
    <n v="1"/>
    <s v="SA"/>
    <s v="Pago Incap"/>
    <x v="14"/>
    <d v="2025-02-28T00:00:00"/>
    <s v="PAGO INCAP"/>
    <s v="O003"/>
    <m/>
    <n v="207"/>
    <s v="S"/>
    <n v="1533010002"/>
    <m/>
    <m/>
    <m/>
    <m/>
    <m/>
    <m/>
    <m/>
    <m/>
    <n v="-224124"/>
    <s v="COP"/>
    <m/>
    <m/>
    <m/>
    <m/>
    <m/>
    <m/>
    <m/>
    <s v="O003001452"/>
    <m/>
    <m/>
    <n v="20250228"/>
    <m/>
    <m/>
    <n v="20250228"/>
    <n v="9006043500"/>
    <m/>
    <m/>
    <s v="PAGO DE PROV AMA EPS S.A.S"/>
    <m/>
    <x v="0"/>
    <n v="224124"/>
    <n v="2"/>
  </r>
  <r>
    <n v="1"/>
    <s v="SA"/>
    <s v="Pago Incap"/>
    <x v="14"/>
    <d v="2025-02-28T00:00:00"/>
    <s v="PAGO INCAP"/>
    <s v="O003"/>
    <m/>
    <n v="208"/>
    <s v="S"/>
    <n v="1533010002"/>
    <m/>
    <m/>
    <m/>
    <m/>
    <m/>
    <m/>
    <m/>
    <m/>
    <n v="-319802"/>
    <s v="COP"/>
    <m/>
    <m/>
    <m/>
    <m/>
    <m/>
    <m/>
    <m/>
    <s v="O003001452"/>
    <m/>
    <m/>
    <n v="20250228"/>
    <m/>
    <m/>
    <n v="20250228"/>
    <n v="9009142541"/>
    <m/>
    <m/>
    <s v="PAGO INTERBANC FUNDACION SALUD"/>
    <m/>
    <x v="0"/>
    <n v="319802"/>
    <n v="2"/>
  </r>
  <r>
    <n v="1"/>
    <s v="SA"/>
    <s v="Pago Incap"/>
    <x v="14"/>
    <d v="2025-02-28T00:00:00"/>
    <s v="PAGO INCAP"/>
    <s v="O003"/>
    <m/>
    <n v="209"/>
    <s v="S"/>
    <n v="1533010002"/>
    <m/>
    <m/>
    <m/>
    <m/>
    <m/>
    <m/>
    <m/>
    <m/>
    <n v="-41238"/>
    <s v="COP"/>
    <m/>
    <m/>
    <m/>
    <m/>
    <m/>
    <m/>
    <m/>
    <s v="O003001452"/>
    <m/>
    <m/>
    <n v="20250228"/>
    <m/>
    <m/>
    <n v="20250228"/>
    <n v="8909049961"/>
    <m/>
    <m/>
    <s v="EPM"/>
    <m/>
    <x v="0"/>
    <n v="41238"/>
    <n v="2"/>
  </r>
  <r>
    <n v="1"/>
    <s v="SA"/>
    <s v="Pago Incap"/>
    <x v="15"/>
    <d v="2025-03-31T00:00:00"/>
    <s v="PAGO INCAP"/>
    <s v="O003"/>
    <m/>
    <n v="2"/>
    <s v="S"/>
    <n v="1533010002"/>
    <m/>
    <m/>
    <m/>
    <m/>
    <m/>
    <m/>
    <m/>
    <m/>
    <n v="691310"/>
    <s v="COP"/>
    <m/>
    <m/>
    <m/>
    <m/>
    <m/>
    <m/>
    <m/>
    <s v="O003001452"/>
    <m/>
    <m/>
    <n v="20250331"/>
    <m/>
    <m/>
    <n v="20250331"/>
    <n v="8600669427"/>
    <m/>
    <m/>
    <s v="PAGO INTERBANC CAJA DE COMPENS"/>
    <m/>
    <x v="4"/>
    <n v="691310"/>
    <n v="3"/>
  </r>
  <r>
    <n v="1"/>
    <s v="SA"/>
    <s v="Pago Incap"/>
    <x v="15"/>
    <d v="2025-03-31T00:00:00"/>
    <s v="PAGO INCAP"/>
    <s v="O003"/>
    <m/>
    <n v="4"/>
    <s v="S"/>
    <n v="1533010002"/>
    <m/>
    <m/>
    <m/>
    <m/>
    <m/>
    <m/>
    <m/>
    <m/>
    <n v="224700"/>
    <s v="COP"/>
    <m/>
    <m/>
    <m/>
    <m/>
    <m/>
    <m/>
    <m/>
    <s v="O003001452"/>
    <m/>
    <m/>
    <n v="20250331"/>
    <m/>
    <m/>
    <n v="20250331"/>
    <n v="8600669427"/>
    <m/>
    <m/>
    <s v="PAGO INTERBANC COMFENALCO"/>
    <m/>
    <x v="4"/>
    <n v="224700"/>
    <n v="3"/>
  </r>
  <r>
    <n v="1"/>
    <s v="SA"/>
    <s v="Pago Incap"/>
    <x v="15"/>
    <d v="2025-03-31T00:00:00"/>
    <s v="PAGO INCAP"/>
    <s v="O003"/>
    <m/>
    <n v="6"/>
    <s v="S"/>
    <n v="1533010002"/>
    <m/>
    <m/>
    <m/>
    <m/>
    <m/>
    <m/>
    <m/>
    <m/>
    <n v="349600"/>
    <s v="COP"/>
    <m/>
    <m/>
    <m/>
    <m/>
    <m/>
    <m/>
    <m/>
    <s v="O003001452"/>
    <m/>
    <m/>
    <n v="20250331"/>
    <m/>
    <m/>
    <n v="20250331"/>
    <n v="8902015787"/>
    <m/>
    <m/>
    <s v="PAGO INTERBANC CAJA DE COMPENS"/>
    <m/>
    <x v="0"/>
    <n v="349600"/>
    <n v="3"/>
  </r>
  <r>
    <n v="1"/>
    <s v="SA"/>
    <s v="Pago Incap"/>
    <x v="15"/>
    <d v="2025-03-31T00:00:00"/>
    <s v="PAGO INCAP"/>
    <s v="O003"/>
    <m/>
    <n v="8"/>
    <s v="S"/>
    <n v="1533010002"/>
    <m/>
    <m/>
    <m/>
    <m/>
    <m/>
    <m/>
    <m/>
    <m/>
    <n v="-29267591"/>
    <s v="COP"/>
    <m/>
    <m/>
    <m/>
    <m/>
    <m/>
    <m/>
    <m/>
    <s v="O003001452"/>
    <m/>
    <m/>
    <n v="20250331"/>
    <m/>
    <m/>
    <n v="20250331"/>
    <n v="42162384"/>
    <m/>
    <m/>
    <s v="07 TRANSFERENCIA CTA SUC VIRTUAL 4160"/>
    <m/>
    <x v="0"/>
    <n v="29267591"/>
    <n v="3"/>
  </r>
  <r>
    <n v="1"/>
    <s v="SA"/>
    <s v="Pago Incap"/>
    <x v="15"/>
    <d v="2025-03-31T00:00:00"/>
    <s v="PAGO INCAP"/>
    <s v="O003"/>
    <m/>
    <n v="79"/>
    <s v="S"/>
    <n v="1533010002"/>
    <m/>
    <m/>
    <m/>
    <m/>
    <m/>
    <m/>
    <m/>
    <m/>
    <n v="-1457932"/>
    <s v="COP"/>
    <m/>
    <m/>
    <m/>
    <m/>
    <m/>
    <m/>
    <m/>
    <s v="O003001452"/>
    <m/>
    <m/>
    <n v="20250331"/>
    <m/>
    <m/>
    <n v="20250331"/>
    <m/>
    <n v="8301138310"/>
    <m/>
    <s v="PAGO DE PROV ALIANSALUD EPS"/>
    <m/>
    <x v="0"/>
    <n v="1457932"/>
    <n v="3"/>
  </r>
  <r>
    <n v="1"/>
    <s v="SA"/>
    <s v="Pago Incap"/>
    <x v="15"/>
    <d v="2025-03-31T00:00:00"/>
    <s v="PAGO INCAP"/>
    <s v="O003"/>
    <m/>
    <n v="80"/>
    <s v="S"/>
    <n v="1533010002"/>
    <m/>
    <m/>
    <m/>
    <m/>
    <m/>
    <m/>
    <m/>
    <m/>
    <n v="-1735144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1735144"/>
    <n v="3"/>
  </r>
  <r>
    <n v="1"/>
    <s v="SA"/>
    <s v="Pago Incap"/>
    <x v="15"/>
    <d v="2025-03-31T00:00:00"/>
    <s v="PAGO INCAP"/>
    <s v="O003"/>
    <m/>
    <n v="81"/>
    <s v="S"/>
    <n v="1533010002"/>
    <m/>
    <m/>
    <m/>
    <m/>
    <m/>
    <m/>
    <m/>
    <m/>
    <n v="-86667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86667"/>
    <n v="3"/>
  </r>
  <r>
    <n v="1"/>
    <s v="SA"/>
    <s v="Pago Incap"/>
    <x v="15"/>
    <d v="2025-03-31T00:00:00"/>
    <s v="PAGO INCAP"/>
    <s v="O003"/>
    <m/>
    <n v="82"/>
    <s v="S"/>
    <n v="1533010002"/>
    <m/>
    <m/>
    <m/>
    <m/>
    <m/>
    <m/>
    <m/>
    <m/>
    <n v="-526146"/>
    <s v="COP"/>
    <m/>
    <m/>
    <m/>
    <m/>
    <m/>
    <m/>
    <m/>
    <s v="O003001452"/>
    <m/>
    <m/>
    <n v="20250331"/>
    <m/>
    <m/>
    <n v="20250331"/>
    <m/>
    <n v="8301138310"/>
    <m/>
    <s v="PAGO DE PROV ALIANSALUD EPS"/>
    <m/>
    <x v="0"/>
    <n v="526146"/>
    <n v="3"/>
  </r>
  <r>
    <n v="1"/>
    <s v="SA"/>
    <s v="Pago Incap"/>
    <x v="15"/>
    <d v="2025-03-31T00:00:00"/>
    <s v="PAGO INCAP"/>
    <s v="O003"/>
    <m/>
    <n v="83"/>
    <s v="S"/>
    <n v="1533010002"/>
    <m/>
    <m/>
    <m/>
    <m/>
    <m/>
    <m/>
    <m/>
    <m/>
    <n v="-674268"/>
    <s v="COP"/>
    <m/>
    <m/>
    <m/>
    <m/>
    <m/>
    <m/>
    <m/>
    <s v="O003001452"/>
    <m/>
    <m/>
    <n v="20250331"/>
    <m/>
    <m/>
    <n v="20250331"/>
    <m/>
    <n v="8300035647"/>
    <m/>
    <s v="PAGO INTERBANC EPS FAMISANAR S"/>
    <m/>
    <x v="0"/>
    <n v="674268"/>
    <n v="3"/>
  </r>
  <r>
    <n v="1"/>
    <s v="SA"/>
    <s v="Pago Incap"/>
    <x v="15"/>
    <d v="2025-03-31T00:00:00"/>
    <s v="PAGO INCAP"/>
    <s v="O003"/>
    <m/>
    <n v="84"/>
    <s v="S"/>
    <n v="1533010002"/>
    <m/>
    <m/>
    <m/>
    <m/>
    <m/>
    <m/>
    <m/>
    <m/>
    <n v="-1065662"/>
    <s v="COP"/>
    <m/>
    <m/>
    <m/>
    <m/>
    <m/>
    <m/>
    <m/>
    <s v="O003001452"/>
    <m/>
    <m/>
    <n v="20250331"/>
    <m/>
    <m/>
    <n v="20250331"/>
    <m/>
    <n v="8600669427"/>
    <m/>
    <s v="PAGO INTERBANC CAJA DE COMPENS"/>
    <m/>
    <x v="0"/>
    <n v="1065662"/>
    <n v="3"/>
  </r>
  <r>
    <n v="1"/>
    <s v="SA"/>
    <s v="Pago Incap"/>
    <x v="15"/>
    <d v="2025-03-31T00:00:00"/>
    <s v="PAGO INCAP"/>
    <s v="O003"/>
    <m/>
    <n v="85"/>
    <s v="S"/>
    <n v="1533010002"/>
    <m/>
    <m/>
    <m/>
    <m/>
    <m/>
    <m/>
    <m/>
    <m/>
    <n v="-773312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773312"/>
    <n v="3"/>
  </r>
  <r>
    <n v="1"/>
    <s v="SA"/>
    <s v="Pago Incap"/>
    <x v="15"/>
    <d v="2025-03-31T00:00:00"/>
    <s v="PAGO INCAP"/>
    <s v="O003"/>
    <m/>
    <n v="86"/>
    <s v="S"/>
    <n v="1533010002"/>
    <m/>
    <m/>
    <m/>
    <m/>
    <m/>
    <m/>
    <m/>
    <m/>
    <n v="-47450"/>
    <s v="COP"/>
    <m/>
    <m/>
    <m/>
    <m/>
    <m/>
    <m/>
    <m/>
    <s v="O003001452"/>
    <m/>
    <m/>
    <n v="20250331"/>
    <m/>
    <m/>
    <n v="20250331"/>
    <m/>
    <n v="8170002483"/>
    <m/>
    <s v="PAGO INTERBANC ASMET SALUD EPS"/>
    <m/>
    <x v="0"/>
    <n v="47450"/>
    <n v="3"/>
  </r>
  <r>
    <n v="1"/>
    <s v="SA"/>
    <s v="Pago Incap"/>
    <x v="15"/>
    <d v="2025-03-31T00:00:00"/>
    <s v="PAGO INCAP"/>
    <s v="O003"/>
    <m/>
    <n v="87"/>
    <s v="S"/>
    <n v="1533010002"/>
    <m/>
    <m/>
    <m/>
    <m/>
    <m/>
    <m/>
    <m/>
    <m/>
    <n v="-474500"/>
    <s v="COP"/>
    <m/>
    <m/>
    <m/>
    <m/>
    <m/>
    <m/>
    <m/>
    <s v="O003001452"/>
    <m/>
    <m/>
    <n v="20250331"/>
    <m/>
    <m/>
    <n v="20250331"/>
    <m/>
    <n v="8300035647"/>
    <m/>
    <s v="PAGO INTERBANC EPS FAMISANAR S"/>
    <m/>
    <x v="0"/>
    <n v="474500"/>
    <n v="3"/>
  </r>
  <r>
    <n v="1"/>
    <s v="SA"/>
    <s v="Pago Incap"/>
    <x v="15"/>
    <d v="2025-03-31T00:00:00"/>
    <s v="PAGO INCAP"/>
    <s v="O003"/>
    <m/>
    <n v="88"/>
    <s v="S"/>
    <n v="1533010002"/>
    <m/>
    <m/>
    <m/>
    <m/>
    <m/>
    <m/>
    <m/>
    <m/>
    <n v="-1060763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1060763"/>
    <n v="3"/>
  </r>
  <r>
    <n v="1"/>
    <s v="SA"/>
    <s v="Pago Incap"/>
    <x v="15"/>
    <d v="2025-03-31T00:00:00"/>
    <s v="PAGO INCAP"/>
    <s v="O003"/>
    <m/>
    <n v="89"/>
    <s v="S"/>
    <n v="1533010002"/>
    <m/>
    <m/>
    <m/>
    <m/>
    <m/>
    <m/>
    <m/>
    <m/>
    <n v="-6342262"/>
    <s v="COP"/>
    <m/>
    <m/>
    <m/>
    <m/>
    <m/>
    <m/>
    <m/>
    <s v="O003001452"/>
    <m/>
    <m/>
    <n v="20250331"/>
    <m/>
    <m/>
    <n v="20250331"/>
    <m/>
    <n v="8000887022"/>
    <m/>
    <s v="PAGO DE PROV EPS SURAMERICAN"/>
    <m/>
    <x v="0"/>
    <n v="6342262"/>
    <n v="3"/>
  </r>
  <r>
    <n v="1"/>
    <s v="SA"/>
    <s v="Pago Incap"/>
    <x v="15"/>
    <d v="2025-03-31T00:00:00"/>
    <s v="PAGO INCAP"/>
    <s v="O003"/>
    <m/>
    <n v="90"/>
    <s v="S"/>
    <n v="1533010002"/>
    <m/>
    <m/>
    <m/>
    <m/>
    <m/>
    <m/>
    <m/>
    <m/>
    <n v="-422933"/>
    <s v="COP"/>
    <m/>
    <m/>
    <m/>
    <m/>
    <m/>
    <m/>
    <m/>
    <s v="O003001452"/>
    <m/>
    <m/>
    <n v="20250331"/>
    <m/>
    <m/>
    <n v="20250331"/>
    <m/>
    <n v="8050011572"/>
    <m/>
    <s v="PAGO INTERBANC EPS  SOS S A"/>
    <m/>
    <x v="0"/>
    <n v="422933"/>
    <n v="3"/>
  </r>
  <r>
    <n v="1"/>
    <s v="SA"/>
    <s v="Pago Incap"/>
    <x v="15"/>
    <d v="2025-03-31T00:00:00"/>
    <s v="PAGO INCAP"/>
    <s v="O003"/>
    <m/>
    <n v="91"/>
    <s v="S"/>
    <n v="1533010002"/>
    <m/>
    <m/>
    <m/>
    <m/>
    <m/>
    <m/>
    <m/>
    <m/>
    <n v="-4983964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4983964"/>
    <n v="3"/>
  </r>
  <r>
    <n v="1"/>
    <s v="SA"/>
    <s v="Pago Incap"/>
    <x v="15"/>
    <d v="2025-03-31T00:00:00"/>
    <s v="PAGO INCAP"/>
    <s v="O003"/>
    <m/>
    <n v="92"/>
    <s v="S"/>
    <n v="1533010002"/>
    <m/>
    <m/>
    <m/>
    <m/>
    <m/>
    <m/>
    <m/>
    <m/>
    <n v="-9155783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9155783"/>
    <n v="3"/>
  </r>
  <r>
    <n v="1"/>
    <s v="SA"/>
    <s v="Pago Incap"/>
    <x v="15"/>
    <d v="2025-03-31T00:00:00"/>
    <s v="PAGO INCAP"/>
    <s v="O003"/>
    <m/>
    <n v="93"/>
    <s v="S"/>
    <n v="1533010002"/>
    <m/>
    <m/>
    <m/>
    <m/>
    <m/>
    <m/>
    <m/>
    <m/>
    <n v="-5472390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5472390"/>
    <n v="3"/>
  </r>
  <r>
    <n v="1"/>
    <s v="SA"/>
    <s v="Pago Incap"/>
    <x v="15"/>
    <d v="2025-03-31T00:00:00"/>
    <s v="PAGO INCAP"/>
    <s v="O003"/>
    <m/>
    <n v="94"/>
    <s v="S"/>
    <n v="1533010002"/>
    <m/>
    <m/>
    <m/>
    <m/>
    <m/>
    <m/>
    <m/>
    <m/>
    <n v="-3324494"/>
    <s v="COP"/>
    <m/>
    <m/>
    <m/>
    <m/>
    <m/>
    <m/>
    <m/>
    <s v="O003001452"/>
    <m/>
    <m/>
    <n v="20250331"/>
    <m/>
    <m/>
    <n v="20250331"/>
    <m/>
    <n v="9001562642"/>
    <m/>
    <s v="PAGO DE PROV NUEVA EPS S A"/>
    <m/>
    <x v="0"/>
    <n v="3324494"/>
    <n v="3"/>
  </r>
  <r>
    <n v="1"/>
    <s v="SA"/>
    <s v="Pago Incap"/>
    <x v="15"/>
    <d v="2025-03-31T00:00:00"/>
    <s v="PAGO INCAP"/>
    <s v="O003"/>
    <m/>
    <n v="95"/>
    <s v="S"/>
    <n v="1533010002"/>
    <m/>
    <m/>
    <m/>
    <m/>
    <m/>
    <m/>
    <m/>
    <m/>
    <n v="-1613300"/>
    <s v="COP"/>
    <m/>
    <m/>
    <m/>
    <m/>
    <m/>
    <m/>
    <m/>
    <s v="O003001452"/>
    <m/>
    <m/>
    <n v="20250331"/>
    <m/>
    <m/>
    <n v="20250331"/>
    <m/>
    <n v="9009142541"/>
    <m/>
    <s v="PAGO INTERBANC FUNDACION SALUD"/>
    <m/>
    <x v="0"/>
    <n v="1613300"/>
    <n v="3"/>
  </r>
  <r>
    <n v="1"/>
    <s v="SA"/>
    <s v="Pago Incap"/>
    <x v="15"/>
    <d v="2025-03-31T00:00:00"/>
    <s v="PAGO INCAP"/>
    <s v="O003"/>
    <m/>
    <n v="96"/>
    <s v="S"/>
    <n v="1533010002"/>
    <m/>
    <m/>
    <m/>
    <m/>
    <m/>
    <m/>
    <m/>
    <m/>
    <n v="-12911530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12911530"/>
    <n v="3"/>
  </r>
  <r>
    <n v="1"/>
    <s v="SA"/>
    <s v="Pago Incap"/>
    <x v="15"/>
    <d v="2025-03-31T00:00:00"/>
    <s v="PAGO INCAP"/>
    <s v="O003"/>
    <m/>
    <n v="97"/>
    <s v="S"/>
    <n v="1533010002"/>
    <m/>
    <m/>
    <m/>
    <m/>
    <m/>
    <m/>
    <m/>
    <m/>
    <n v="-616850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616850"/>
    <n v="3"/>
  </r>
  <r>
    <n v="1"/>
    <s v="SA"/>
    <s v="Pago Incap"/>
    <x v="15"/>
    <d v="2025-03-31T00:00:00"/>
    <s v="PAGO INCAP"/>
    <s v="O003"/>
    <m/>
    <n v="98"/>
    <s v="S"/>
    <n v="1533010002"/>
    <m/>
    <m/>
    <m/>
    <m/>
    <m/>
    <m/>
    <m/>
    <m/>
    <n v="-47450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47450"/>
    <n v="3"/>
  </r>
  <r>
    <n v="1"/>
    <s v="SA"/>
    <s v="Pago Incap"/>
    <x v="15"/>
    <d v="2025-03-31T00:00:00"/>
    <s v="PAGO INCAP"/>
    <s v="O003"/>
    <m/>
    <n v="99"/>
    <s v="S"/>
    <n v="1533010002"/>
    <m/>
    <m/>
    <m/>
    <m/>
    <m/>
    <m/>
    <m/>
    <m/>
    <n v="-189800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189800"/>
    <n v="3"/>
  </r>
  <r>
    <n v="1"/>
    <s v="SA"/>
    <s v="Pago Incap"/>
    <x v="15"/>
    <d v="2025-03-31T00:00:00"/>
    <s v="PAGO INCAP"/>
    <s v="O003"/>
    <m/>
    <n v="100"/>
    <s v="S"/>
    <n v="1533010002"/>
    <m/>
    <m/>
    <m/>
    <m/>
    <m/>
    <m/>
    <m/>
    <m/>
    <n v="-1705728"/>
    <s v="COP"/>
    <m/>
    <m/>
    <m/>
    <m/>
    <m/>
    <m/>
    <m/>
    <s v="O003001452"/>
    <m/>
    <m/>
    <n v="20250331"/>
    <m/>
    <m/>
    <n v="20250331"/>
    <m/>
    <n v="8300035647"/>
    <m/>
    <s v="PAGO INTERBANC EPS FAMISANAR S"/>
    <m/>
    <x v="0"/>
    <n v="1705728"/>
    <n v="3"/>
  </r>
  <r>
    <n v="1"/>
    <s v="SA"/>
    <s v="Pago Incap"/>
    <x v="15"/>
    <d v="2025-03-31T00:00:00"/>
    <s v="PAGO INCAP"/>
    <s v="O003"/>
    <m/>
    <n v="101"/>
    <s v="S"/>
    <n v="1533010002"/>
    <m/>
    <m/>
    <m/>
    <m/>
    <m/>
    <m/>
    <m/>
    <m/>
    <n v="-142350"/>
    <s v="COP"/>
    <m/>
    <m/>
    <m/>
    <m/>
    <m/>
    <m/>
    <m/>
    <s v="O003001452"/>
    <m/>
    <m/>
    <n v="20250331"/>
    <m/>
    <m/>
    <n v="20250331"/>
    <m/>
    <n v="8600669427"/>
    <m/>
    <s v="PAGO INTERBANC CAJA DE COMPENS"/>
    <m/>
    <x v="0"/>
    <n v="142350"/>
    <n v="3"/>
  </r>
  <r>
    <n v="1"/>
    <s v="SA"/>
    <s v="Pago Incap"/>
    <x v="15"/>
    <d v="2025-03-31T00:00:00"/>
    <s v="PAGO INCAP"/>
    <s v="O003"/>
    <m/>
    <n v="102"/>
    <s v="S"/>
    <n v="1533010002"/>
    <m/>
    <m/>
    <m/>
    <m/>
    <m/>
    <m/>
    <m/>
    <m/>
    <n v="-2893307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2893307"/>
    <n v="3"/>
  </r>
  <r>
    <n v="1"/>
    <s v="SA"/>
    <s v="Pago Incap"/>
    <x v="15"/>
    <d v="2025-03-31T00:00:00"/>
    <s v="PAGO INCAP"/>
    <s v="O003"/>
    <m/>
    <n v="103"/>
    <s v="S"/>
    <n v="1533010002"/>
    <m/>
    <m/>
    <m/>
    <m/>
    <m/>
    <m/>
    <m/>
    <m/>
    <n v="-142350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142350"/>
    <n v="3"/>
  </r>
  <r>
    <n v="1"/>
    <s v="SA"/>
    <s v="Pago Incap"/>
    <x v="15"/>
    <d v="2025-03-31T00:00:00"/>
    <s v="PAGO INCAP"/>
    <s v="O003"/>
    <m/>
    <n v="104"/>
    <s v="S"/>
    <n v="1533010002"/>
    <m/>
    <m/>
    <m/>
    <m/>
    <m/>
    <m/>
    <m/>
    <m/>
    <n v="-124537"/>
    <s v="COP"/>
    <m/>
    <m/>
    <m/>
    <m/>
    <m/>
    <m/>
    <m/>
    <s v="O003001452"/>
    <m/>
    <m/>
    <n v="20250331"/>
    <m/>
    <m/>
    <n v="20250331"/>
    <m/>
    <n v="8301138310"/>
    <m/>
    <s v="PAGO DE PROV ALIANSALUD EPS"/>
    <m/>
    <x v="0"/>
    <n v="124537"/>
    <n v="3"/>
  </r>
  <r>
    <n v="1"/>
    <s v="SA"/>
    <s v="Pago Incap"/>
    <x v="15"/>
    <d v="2025-03-31T00:00:00"/>
    <s v="PAGO INCAP"/>
    <s v="O003"/>
    <m/>
    <n v="105"/>
    <s v="S"/>
    <n v="1533010002"/>
    <m/>
    <m/>
    <m/>
    <m/>
    <m/>
    <m/>
    <m/>
    <m/>
    <n v="-7153408"/>
    <s v="COP"/>
    <m/>
    <m/>
    <m/>
    <m/>
    <m/>
    <m/>
    <m/>
    <s v="O003001452"/>
    <m/>
    <m/>
    <n v="20250331"/>
    <m/>
    <m/>
    <n v="20250331"/>
    <m/>
    <n v="8000887022"/>
    <m/>
    <s v="PAGO DE PROV EPS SURAMERICAN"/>
    <m/>
    <x v="0"/>
    <n v="7153408"/>
    <n v="3"/>
  </r>
  <r>
    <n v="1"/>
    <s v="SA"/>
    <s v="Pago Incap"/>
    <x v="15"/>
    <d v="2025-03-31T00:00:00"/>
    <s v="PAGO INCAP"/>
    <s v="O003"/>
    <m/>
    <n v="106"/>
    <s v="S"/>
    <n v="1533010002"/>
    <m/>
    <m/>
    <m/>
    <m/>
    <m/>
    <m/>
    <m/>
    <m/>
    <n v="-5460084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5460084"/>
    <n v="3"/>
  </r>
  <r>
    <n v="1"/>
    <s v="SA"/>
    <s v="Pago Incap"/>
    <x v="15"/>
    <d v="2025-03-31T00:00:00"/>
    <s v="PAGO INCAP"/>
    <s v="O003"/>
    <m/>
    <n v="107"/>
    <s v="S"/>
    <n v="1533010002"/>
    <m/>
    <m/>
    <m/>
    <m/>
    <m/>
    <m/>
    <m/>
    <m/>
    <n v="-6205705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6205705"/>
    <n v="3"/>
  </r>
  <r>
    <n v="1"/>
    <s v="SA"/>
    <s v="Pago Incap"/>
    <x v="15"/>
    <d v="2025-03-31T00:00:00"/>
    <s v="PAGO INCAP"/>
    <s v="O003"/>
    <m/>
    <n v="108"/>
    <s v="S"/>
    <n v="1533010002"/>
    <m/>
    <m/>
    <m/>
    <m/>
    <m/>
    <m/>
    <m/>
    <m/>
    <n v="-2151921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2151921"/>
    <n v="3"/>
  </r>
  <r>
    <n v="1"/>
    <s v="SA"/>
    <s v="Pago Incap"/>
    <x v="15"/>
    <d v="2025-03-31T00:00:00"/>
    <s v="PAGO INCAP"/>
    <s v="O003"/>
    <m/>
    <n v="109"/>
    <s v="S"/>
    <n v="1533010002"/>
    <m/>
    <m/>
    <m/>
    <m/>
    <m/>
    <m/>
    <m/>
    <m/>
    <n v="-49548140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49548140"/>
    <n v="3"/>
  </r>
  <r>
    <n v="1"/>
    <s v="SA"/>
    <s v="Pago Incap"/>
    <x v="15"/>
    <d v="2025-03-31T00:00:00"/>
    <s v="PAGO INCAP"/>
    <s v="O003"/>
    <m/>
    <n v="110"/>
    <s v="S"/>
    <n v="1533010002"/>
    <m/>
    <m/>
    <m/>
    <m/>
    <m/>
    <m/>
    <m/>
    <m/>
    <n v="-6119022"/>
    <s v="COP"/>
    <m/>
    <m/>
    <m/>
    <m/>
    <m/>
    <m/>
    <m/>
    <s v="O003001452"/>
    <m/>
    <m/>
    <n v="20250331"/>
    <m/>
    <m/>
    <n v="20250331"/>
    <m/>
    <n v="8001309074"/>
    <m/>
    <s v="PAGO INTERBANC SALUD-TOTAL-EPS"/>
    <m/>
    <x v="0"/>
    <n v="6119022"/>
    <n v="3"/>
  </r>
  <r>
    <n v="1"/>
    <s v="SA"/>
    <s v="Pago Incap"/>
    <x v="15"/>
    <d v="2025-03-31T00:00:00"/>
    <s v="PAGO INCAP"/>
    <s v="O003"/>
    <m/>
    <n v="111"/>
    <s v="S"/>
    <n v="1533010002"/>
    <m/>
    <m/>
    <m/>
    <m/>
    <m/>
    <m/>
    <m/>
    <m/>
    <n v="-581456"/>
    <s v="COP"/>
    <m/>
    <m/>
    <m/>
    <m/>
    <m/>
    <m/>
    <m/>
    <s v="O003001452"/>
    <m/>
    <m/>
    <n v="20250331"/>
    <m/>
    <m/>
    <n v="20250331"/>
    <m/>
    <n v="8301138310"/>
    <m/>
    <s v="PAGO DE PROV ALIANSALUD EPS"/>
    <m/>
    <x v="0"/>
    <n v="581456"/>
    <n v="3"/>
  </r>
  <r>
    <n v="1"/>
    <s v="SA"/>
    <s v="Pago Incap"/>
    <x v="15"/>
    <d v="2025-03-31T00:00:00"/>
    <s v="PAGO INCAP"/>
    <s v="O003"/>
    <m/>
    <n v="112"/>
    <s v="S"/>
    <n v="1533010002"/>
    <m/>
    <m/>
    <m/>
    <m/>
    <m/>
    <m/>
    <m/>
    <m/>
    <n v="-574636"/>
    <s v="COP"/>
    <m/>
    <m/>
    <m/>
    <m/>
    <m/>
    <m/>
    <m/>
    <s v="O003001452"/>
    <m/>
    <m/>
    <n v="20250331"/>
    <m/>
    <m/>
    <n v="20250331"/>
    <m/>
    <n v="8600669427"/>
    <m/>
    <s v="PAGO INTERBANC CAJA DE COMPENS"/>
    <m/>
    <x v="0"/>
    <n v="574636"/>
    <n v="3"/>
  </r>
  <r>
    <n v="1"/>
    <s v="SA"/>
    <s v="Pago Incap"/>
    <x v="15"/>
    <d v="2025-03-31T00:00:00"/>
    <s v="PAGO INCAP"/>
    <s v="O003"/>
    <m/>
    <n v="113"/>
    <s v="S"/>
    <n v="1533010002"/>
    <m/>
    <m/>
    <m/>
    <m/>
    <m/>
    <m/>
    <m/>
    <m/>
    <n v="-2479833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2479833"/>
    <n v="3"/>
  </r>
  <r>
    <n v="1"/>
    <s v="SA"/>
    <s v="Pago Incap"/>
    <x v="15"/>
    <d v="2025-03-31T00:00:00"/>
    <s v="PAGO INCAP"/>
    <s v="O003"/>
    <m/>
    <n v="114"/>
    <s v="S"/>
    <n v="1533010002"/>
    <m/>
    <m/>
    <m/>
    <m/>
    <m/>
    <m/>
    <m/>
    <m/>
    <n v="-12175063"/>
    <s v="COP"/>
    <m/>
    <m/>
    <m/>
    <m/>
    <m/>
    <m/>
    <m/>
    <s v="O003001452"/>
    <m/>
    <m/>
    <n v="20250331"/>
    <m/>
    <m/>
    <n v="20250331"/>
    <m/>
    <n v="9001562642"/>
    <m/>
    <s v="PAGO DE PROV NUEVA EPS S A"/>
    <m/>
    <x v="0"/>
    <n v="12175063"/>
    <n v="3"/>
  </r>
  <r>
    <n v="1"/>
    <s v="SA"/>
    <s v="Pago Incap"/>
    <x v="15"/>
    <d v="2025-03-31T00:00:00"/>
    <s v="PAGO INCAP"/>
    <s v="O003"/>
    <m/>
    <n v="115"/>
    <s v="S"/>
    <n v="1533010002"/>
    <m/>
    <m/>
    <m/>
    <m/>
    <m/>
    <m/>
    <m/>
    <m/>
    <n v="-3943241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3943241"/>
    <n v="3"/>
  </r>
  <r>
    <n v="1"/>
    <s v="SA"/>
    <s v="Pago Incap"/>
    <x v="15"/>
    <d v="2025-03-31T00:00:00"/>
    <s v="PAGO INCAP"/>
    <s v="O003"/>
    <m/>
    <n v="116"/>
    <s v="S"/>
    <n v="1533010002"/>
    <m/>
    <m/>
    <m/>
    <m/>
    <m/>
    <m/>
    <m/>
    <m/>
    <n v="-2752100"/>
    <s v="COP"/>
    <m/>
    <m/>
    <m/>
    <m/>
    <m/>
    <m/>
    <m/>
    <s v="O003001452"/>
    <m/>
    <m/>
    <n v="20250331"/>
    <m/>
    <m/>
    <n v="20250331"/>
    <m/>
    <n v="8600669427"/>
    <m/>
    <s v="PAGO INTERBANC CAJA DE COMPENS"/>
    <m/>
    <x v="0"/>
    <n v="2752100"/>
    <n v="3"/>
  </r>
  <r>
    <n v="1"/>
    <s v="SA"/>
    <s v="Pago Incap"/>
    <x v="15"/>
    <d v="2025-03-31T00:00:00"/>
    <s v="PAGO INCAP"/>
    <s v="O003"/>
    <m/>
    <n v="117"/>
    <s v="S"/>
    <n v="1533010002"/>
    <m/>
    <m/>
    <m/>
    <m/>
    <m/>
    <m/>
    <m/>
    <m/>
    <n v="-1423500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1423500"/>
    <n v="3"/>
  </r>
  <r>
    <n v="1"/>
    <s v="SA"/>
    <s v="Pago Incap"/>
    <x v="15"/>
    <d v="2025-03-31T00:00:00"/>
    <s v="PAGO INCAP"/>
    <s v="O003"/>
    <m/>
    <n v="118"/>
    <s v="S"/>
    <n v="1533010002"/>
    <m/>
    <m/>
    <m/>
    <m/>
    <m/>
    <m/>
    <m/>
    <m/>
    <n v="-130000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130000"/>
    <n v="3"/>
  </r>
  <r>
    <n v="1"/>
    <s v="SA"/>
    <s v="Pago Incap"/>
    <x v="15"/>
    <d v="2025-03-31T00:00:00"/>
    <s v="PAGO INCAP"/>
    <s v="O003"/>
    <m/>
    <n v="119"/>
    <s v="S"/>
    <n v="1533010002"/>
    <m/>
    <m/>
    <m/>
    <m/>
    <m/>
    <m/>
    <m/>
    <m/>
    <n v="-47450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47450"/>
    <n v="3"/>
  </r>
  <r>
    <n v="1"/>
    <s v="SA"/>
    <s v="Pago Incap"/>
    <x v="15"/>
    <d v="2025-03-31T00:00:00"/>
    <s v="PAGO INCAP"/>
    <s v="O003"/>
    <m/>
    <n v="120"/>
    <s v="S"/>
    <n v="1533010002"/>
    <m/>
    <m/>
    <m/>
    <m/>
    <m/>
    <m/>
    <m/>
    <m/>
    <n v="-142350"/>
    <s v="COP"/>
    <m/>
    <m/>
    <m/>
    <m/>
    <m/>
    <m/>
    <m/>
    <s v="O003001452"/>
    <m/>
    <m/>
    <n v="20250331"/>
    <m/>
    <m/>
    <n v="20250331"/>
    <m/>
    <n v="8002492410"/>
    <m/>
    <s v="PAGO INTERBANC COOSALUD-ENTIDA"/>
    <m/>
    <x v="0"/>
    <n v="142350"/>
    <n v="3"/>
  </r>
  <r>
    <n v="1"/>
    <s v="SA"/>
    <s v="Pago Incap"/>
    <x v="15"/>
    <d v="2025-03-31T00:00:00"/>
    <s v="PAGO INCAP"/>
    <s v="O003"/>
    <m/>
    <n v="121"/>
    <s v="S"/>
    <n v="1533010002"/>
    <m/>
    <m/>
    <m/>
    <m/>
    <m/>
    <m/>
    <m/>
    <m/>
    <n v="-2116660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2116660"/>
    <n v="3"/>
  </r>
  <r>
    <n v="1"/>
    <s v="SA"/>
    <s v="Pago Incap"/>
    <x v="15"/>
    <d v="2025-03-31T00:00:00"/>
    <s v="PAGO INCAP"/>
    <s v="O003"/>
    <m/>
    <n v="122"/>
    <s v="S"/>
    <n v="1533010002"/>
    <m/>
    <m/>
    <m/>
    <m/>
    <m/>
    <m/>
    <m/>
    <m/>
    <n v="-5635020"/>
    <s v="COP"/>
    <m/>
    <m/>
    <m/>
    <m/>
    <m/>
    <m/>
    <m/>
    <s v="O003001452"/>
    <m/>
    <m/>
    <n v="20250331"/>
    <m/>
    <m/>
    <n v="20250331"/>
    <m/>
    <n v="8301138310"/>
    <m/>
    <s v="PAGO DE PROV ALIANSALUD EPS"/>
    <m/>
    <x v="0"/>
    <n v="5635020"/>
    <n v="3"/>
  </r>
  <r>
    <n v="1"/>
    <s v="SA"/>
    <s v="Pago Incap"/>
    <x v="15"/>
    <d v="2025-03-31T00:00:00"/>
    <s v="PAGO INCAP"/>
    <s v="O003"/>
    <m/>
    <n v="123"/>
    <s v="S"/>
    <n v="1533010002"/>
    <m/>
    <m/>
    <m/>
    <m/>
    <m/>
    <m/>
    <m/>
    <m/>
    <n v="-3199388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3199388"/>
    <n v="3"/>
  </r>
  <r>
    <n v="1"/>
    <s v="SA"/>
    <s v="Pago Incap"/>
    <x v="15"/>
    <d v="2025-03-31T00:00:00"/>
    <s v="PAGO INCAP"/>
    <s v="O003"/>
    <m/>
    <n v="124"/>
    <s v="S"/>
    <n v="1533010002"/>
    <m/>
    <m/>
    <m/>
    <m/>
    <m/>
    <m/>
    <m/>
    <m/>
    <n v="-86666"/>
    <s v="COP"/>
    <m/>
    <m/>
    <m/>
    <m/>
    <m/>
    <m/>
    <m/>
    <s v="O003001452"/>
    <m/>
    <m/>
    <n v="20250331"/>
    <m/>
    <m/>
    <n v="20250331"/>
    <m/>
    <n v="8240013981"/>
    <m/>
    <s v="PAGO INTERBANC ASOCIACION DE C"/>
    <m/>
    <x v="0"/>
    <n v="86666"/>
    <n v="3"/>
  </r>
  <r>
    <n v="1"/>
    <s v="SA"/>
    <s v="Pago Incap"/>
    <x v="15"/>
    <d v="2025-03-31T00:00:00"/>
    <s v="PAGO INCAP"/>
    <s v="O003"/>
    <m/>
    <n v="125"/>
    <s v="S"/>
    <n v="1533010002"/>
    <m/>
    <m/>
    <m/>
    <m/>
    <m/>
    <m/>
    <m/>
    <m/>
    <n v="-142350"/>
    <s v="COP"/>
    <m/>
    <m/>
    <m/>
    <m/>
    <m/>
    <m/>
    <m/>
    <s v="O003001452"/>
    <m/>
    <m/>
    <n v="20250331"/>
    <m/>
    <m/>
    <n v="20250331"/>
    <m/>
    <n v="8050011572"/>
    <m/>
    <s v="PAGO INTERBANC EPS  SOS S A"/>
    <m/>
    <x v="0"/>
    <n v="142350"/>
    <n v="3"/>
  </r>
  <r>
    <n v="1"/>
    <s v="SA"/>
    <s v="Pago Incap"/>
    <x v="15"/>
    <d v="2025-03-31T00:00:00"/>
    <s v="PAGO INCAP"/>
    <s v="O003"/>
    <m/>
    <n v="126"/>
    <s v="S"/>
    <n v="1533010002"/>
    <m/>
    <m/>
    <m/>
    <m/>
    <m/>
    <m/>
    <m/>
    <m/>
    <n v="-1433613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1433613"/>
    <n v="3"/>
  </r>
  <r>
    <n v="1"/>
    <s v="SA"/>
    <s v="Pago Incap"/>
    <x v="15"/>
    <d v="2025-03-31T00:00:00"/>
    <s v="PAGO INCAP"/>
    <s v="O003"/>
    <m/>
    <n v="127"/>
    <s v="S"/>
    <n v="1533010002"/>
    <m/>
    <m/>
    <m/>
    <m/>
    <m/>
    <m/>
    <m/>
    <m/>
    <n v="-142350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142350"/>
    <n v="3"/>
  </r>
  <r>
    <n v="1"/>
    <s v="SA"/>
    <s v="Pago Incap"/>
    <x v="15"/>
    <d v="2025-03-31T00:00:00"/>
    <s v="PAGO INCAP"/>
    <s v="O003"/>
    <m/>
    <n v="128"/>
    <s v="S"/>
    <n v="1533010002"/>
    <m/>
    <m/>
    <m/>
    <m/>
    <m/>
    <m/>
    <m/>
    <m/>
    <n v="-1752425"/>
    <s v="COP"/>
    <m/>
    <m/>
    <m/>
    <m/>
    <m/>
    <m/>
    <m/>
    <s v="O003001452"/>
    <m/>
    <m/>
    <n v="20250331"/>
    <m/>
    <m/>
    <n v="20250331"/>
    <m/>
    <n v="8000887022"/>
    <m/>
    <s v="PAGO DE PROV EPS SURAMERICAN"/>
    <m/>
    <x v="0"/>
    <n v="1752425"/>
    <n v="3"/>
  </r>
  <r>
    <n v="1"/>
    <s v="SA"/>
    <s v="Pago Incap"/>
    <x v="15"/>
    <d v="2025-03-31T00:00:00"/>
    <s v="PAGO INCAP"/>
    <s v="O003"/>
    <m/>
    <n v="129"/>
    <s v="S"/>
    <n v="1533010002"/>
    <m/>
    <m/>
    <m/>
    <m/>
    <m/>
    <m/>
    <m/>
    <m/>
    <n v="-11786783"/>
    <s v="COP"/>
    <m/>
    <m/>
    <m/>
    <m/>
    <m/>
    <m/>
    <m/>
    <s v="O003001452"/>
    <m/>
    <m/>
    <n v="20250331"/>
    <m/>
    <m/>
    <n v="20250331"/>
    <m/>
    <n v="8002514406"/>
    <m/>
    <s v="PAGO INTERBANC EPS SANITAS S A"/>
    <m/>
    <x v="0"/>
    <n v="11786783"/>
    <n v="3"/>
  </r>
  <r>
    <n v="1"/>
    <s v="SA"/>
    <s v="Pago Incap"/>
    <x v="15"/>
    <d v="2025-03-31T00:00:00"/>
    <s v="PAGO INCAP"/>
    <s v="O003"/>
    <m/>
    <n v="130"/>
    <s v="S"/>
    <n v="1533010002"/>
    <m/>
    <m/>
    <m/>
    <m/>
    <m/>
    <m/>
    <m/>
    <m/>
    <n v="-8387719"/>
    <s v="COP"/>
    <m/>
    <m/>
    <m/>
    <m/>
    <m/>
    <m/>
    <m/>
    <s v="O003001452"/>
    <m/>
    <m/>
    <n v="20250331"/>
    <m/>
    <m/>
    <n v="20250331"/>
    <m/>
    <n v="8600021839"/>
    <m/>
    <s v="PAGO INTERBANC AXA COLPATRIA S"/>
    <m/>
    <x v="0"/>
    <n v="8387719"/>
    <n v="3"/>
  </r>
  <r>
    <n v="1"/>
    <s v="SA"/>
    <s v="Pago Incap"/>
    <x v="15"/>
    <d v="2025-03-31T00:00:00"/>
    <s v="PAGO INCAP"/>
    <s v="O003"/>
    <m/>
    <n v="131"/>
    <s v="S"/>
    <n v="1533010002"/>
    <m/>
    <m/>
    <m/>
    <m/>
    <m/>
    <m/>
    <m/>
    <m/>
    <n v="-1822426"/>
    <s v="COP"/>
    <m/>
    <m/>
    <m/>
    <m/>
    <m/>
    <m/>
    <m/>
    <s v="O003001452"/>
    <m/>
    <m/>
    <n v="20250331"/>
    <m/>
    <m/>
    <n v="20250331"/>
    <m/>
    <n v="8600669427"/>
    <m/>
    <s v="PAGO INTERBANC CAJA DE COMPENS"/>
    <m/>
    <x v="0"/>
    <n v="1822426"/>
    <n v="3"/>
  </r>
  <r>
    <n v="1"/>
    <s v="SA"/>
    <s v="Pago Incap"/>
    <x v="15"/>
    <d v="2025-03-31T00:00:00"/>
    <s v="PAGO INCAP"/>
    <s v="O003"/>
    <m/>
    <n v="132"/>
    <s v="S"/>
    <n v="1533010002"/>
    <m/>
    <m/>
    <m/>
    <m/>
    <m/>
    <m/>
    <m/>
    <m/>
    <n v="-470383"/>
    <s v="COP"/>
    <m/>
    <m/>
    <m/>
    <m/>
    <m/>
    <m/>
    <m/>
    <s v="O003001452"/>
    <m/>
    <m/>
    <n v="20250331"/>
    <m/>
    <m/>
    <n v="20250331"/>
    <m/>
    <n v="8300035647"/>
    <m/>
    <s v="PAGO INTERBANC EPS FAMISANAR S"/>
    <m/>
    <x v="0"/>
    <n v="470383"/>
    <n v="3"/>
  </r>
  <r>
    <n v="1"/>
    <s v="SA"/>
    <s v="Pago Incap"/>
    <x v="15"/>
    <d v="2025-03-31T00:00:00"/>
    <s v="PAGO INCAP"/>
    <s v="O003"/>
    <m/>
    <n v="268"/>
    <s v="S"/>
    <n v="1533010002"/>
    <m/>
    <m/>
    <m/>
    <m/>
    <m/>
    <m/>
    <m/>
    <m/>
    <n v="-346672"/>
    <s v="COP"/>
    <m/>
    <m/>
    <m/>
    <m/>
    <m/>
    <m/>
    <m/>
    <s v="O003001452"/>
    <m/>
    <m/>
    <n v="20250331"/>
    <m/>
    <m/>
    <n v="20250331"/>
    <m/>
    <n v="8903030935"/>
    <m/>
    <s v="REV COM TRANAHORROS AHORROSUC TEL CTAPP"/>
    <m/>
    <x v="0"/>
    <n v="346672"/>
    <n v="3"/>
  </r>
  <r>
    <n v="1"/>
    <s v="SA"/>
    <s v="Pago Incap"/>
    <x v="16"/>
    <d v="2025-04-30T00:00:00"/>
    <s v="PAGO INCAP"/>
    <s v="O003"/>
    <m/>
    <n v="60"/>
    <s v="S"/>
    <n v="1533010002"/>
    <m/>
    <m/>
    <m/>
    <m/>
    <m/>
    <m/>
    <m/>
    <m/>
    <n v="-2563067"/>
    <s v="COP"/>
    <m/>
    <m/>
    <m/>
    <m/>
    <m/>
    <m/>
    <m/>
    <s v="O003001452"/>
    <m/>
    <m/>
    <n v="20250430"/>
    <m/>
    <m/>
    <n v="20250430"/>
    <m/>
    <n v="8301138310"/>
    <m/>
    <s v="PAGO DE PROV ALIANSALUD EPS"/>
    <m/>
    <x v="0"/>
    <n v="2563067"/>
    <n v="4"/>
  </r>
  <r>
    <n v="1"/>
    <s v="SA"/>
    <s v="Pago Incap"/>
    <x v="16"/>
    <d v="2025-04-30T00:00:00"/>
    <s v="PAGO INCAP"/>
    <s v="O003"/>
    <m/>
    <n v="61"/>
    <s v="S"/>
    <n v="1533010002"/>
    <m/>
    <m/>
    <m/>
    <m/>
    <m/>
    <m/>
    <m/>
    <m/>
    <n v="-86668"/>
    <s v="COP"/>
    <m/>
    <m/>
    <m/>
    <m/>
    <m/>
    <m/>
    <m/>
    <s v="O003001452"/>
    <m/>
    <m/>
    <n v="20250430"/>
    <m/>
    <m/>
    <n v="20250430"/>
    <m/>
    <n v="8140003371"/>
    <m/>
    <s v="PAGO INTERBANC EMSSANAR ENTIDA"/>
    <m/>
    <x v="0"/>
    <n v="86668"/>
    <n v="4"/>
  </r>
  <r>
    <n v="1"/>
    <s v="SA"/>
    <s v="Pago Incap"/>
    <x v="16"/>
    <d v="2025-04-30T00:00:00"/>
    <s v="PAGO INCAP"/>
    <s v="O003"/>
    <m/>
    <n v="62"/>
    <s v="S"/>
    <n v="1533010002"/>
    <m/>
    <m/>
    <m/>
    <m/>
    <m/>
    <m/>
    <m/>
    <m/>
    <n v="-5633429"/>
    <s v="COP"/>
    <m/>
    <m/>
    <m/>
    <m/>
    <m/>
    <m/>
    <m/>
    <s v="O003001452"/>
    <m/>
    <m/>
    <n v="20250430"/>
    <m/>
    <m/>
    <n v="20250430"/>
    <m/>
    <n v="9001562642"/>
    <m/>
    <s v="PAGO DE PROV NUEVA EMPRESA P"/>
    <m/>
    <x v="0"/>
    <n v="5633429"/>
    <n v="4"/>
  </r>
  <r>
    <n v="1"/>
    <s v="SA"/>
    <s v="Pago Incap"/>
    <x v="16"/>
    <d v="2025-04-30T00:00:00"/>
    <s v="PAGO INCAP"/>
    <s v="O003"/>
    <m/>
    <n v="63"/>
    <s v="S"/>
    <n v="1533010002"/>
    <m/>
    <m/>
    <m/>
    <m/>
    <m/>
    <m/>
    <m/>
    <m/>
    <n v="-582298"/>
    <s v="COP"/>
    <m/>
    <m/>
    <m/>
    <m/>
    <m/>
    <m/>
    <m/>
    <s v="O003001452"/>
    <m/>
    <m/>
    <n v="20250430"/>
    <m/>
    <m/>
    <n v="20250430"/>
    <m/>
    <n v="8301138310"/>
    <m/>
    <s v="PAGO DE PROV ALIANSALUD EPS"/>
    <m/>
    <x v="0"/>
    <n v="582298"/>
    <n v="4"/>
  </r>
  <r>
    <n v="1"/>
    <s v="SA"/>
    <s v="Pago Incap"/>
    <x v="16"/>
    <d v="2025-04-30T00:00:00"/>
    <s v="PAGO INCAP"/>
    <s v="O003"/>
    <m/>
    <n v="64"/>
    <s v="S"/>
    <n v="1533010002"/>
    <m/>
    <m/>
    <m/>
    <m/>
    <m/>
    <m/>
    <m/>
    <m/>
    <n v="-47450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47450"/>
    <n v="4"/>
  </r>
  <r>
    <n v="1"/>
    <s v="SA"/>
    <s v="Pago Incap"/>
    <x v="16"/>
    <d v="2025-04-30T00:00:00"/>
    <s v="PAGO INCAP"/>
    <s v="O003"/>
    <m/>
    <n v="65"/>
    <s v="S"/>
    <n v="1533010002"/>
    <m/>
    <m/>
    <m/>
    <m/>
    <m/>
    <m/>
    <m/>
    <m/>
    <n v="-4467410"/>
    <s v="COP"/>
    <m/>
    <m/>
    <m/>
    <m/>
    <m/>
    <m/>
    <m/>
    <s v="O003001452"/>
    <m/>
    <m/>
    <n v="20250430"/>
    <m/>
    <m/>
    <n v="20250430"/>
    <m/>
    <n v="8001309074"/>
    <m/>
    <s v="PAGO INTERBANC SALUD-TOTAL-EPS"/>
    <m/>
    <x v="0"/>
    <n v="4467410"/>
    <n v="4"/>
  </r>
  <r>
    <n v="1"/>
    <s v="SA"/>
    <s v="Pago Incap"/>
    <x v="16"/>
    <d v="2025-04-30T00:00:00"/>
    <s v="PAGO INCAP"/>
    <s v="O003"/>
    <m/>
    <n v="66"/>
    <s v="S"/>
    <n v="1533010002"/>
    <m/>
    <m/>
    <m/>
    <m/>
    <m/>
    <m/>
    <m/>
    <m/>
    <n v="-1554564"/>
    <s v="COP"/>
    <m/>
    <m/>
    <m/>
    <m/>
    <m/>
    <m/>
    <m/>
    <s v="O003001452"/>
    <m/>
    <m/>
    <n v="20250430"/>
    <m/>
    <m/>
    <n v="20250430"/>
    <m/>
    <n v="8300035647"/>
    <m/>
    <s v="PAGO INTERBANC EPS FAMISANAR S"/>
    <m/>
    <x v="0"/>
    <n v="1554564"/>
    <n v="4"/>
  </r>
  <r>
    <n v="1"/>
    <s v="SA"/>
    <s v="Pago Incap"/>
    <x v="16"/>
    <d v="2025-04-30T00:00:00"/>
    <s v="PAGO INCAP"/>
    <s v="O003"/>
    <m/>
    <n v="67"/>
    <s v="S"/>
    <n v="1533010002"/>
    <m/>
    <m/>
    <m/>
    <m/>
    <m/>
    <m/>
    <m/>
    <m/>
    <n v="-1850550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1850550"/>
    <n v="4"/>
  </r>
  <r>
    <n v="1"/>
    <s v="SA"/>
    <s v="Pago Incap"/>
    <x v="16"/>
    <d v="2025-04-30T00:00:00"/>
    <s v="PAGO INCAP"/>
    <s v="O003"/>
    <m/>
    <n v="68"/>
    <s v="S"/>
    <n v="1533010002"/>
    <m/>
    <m/>
    <m/>
    <m/>
    <m/>
    <m/>
    <m/>
    <m/>
    <n v="-3656084"/>
    <s v="COP"/>
    <m/>
    <m/>
    <m/>
    <m/>
    <m/>
    <m/>
    <m/>
    <s v="O003001452"/>
    <m/>
    <m/>
    <n v="20250430"/>
    <m/>
    <m/>
    <n v="20250430"/>
    <m/>
    <n v="9001562642"/>
    <m/>
    <s v="PAGO DE PROV NUEVA EMPRESA P"/>
    <m/>
    <x v="0"/>
    <n v="3656084"/>
    <n v="4"/>
  </r>
  <r>
    <n v="1"/>
    <s v="SA"/>
    <s v="Pago Incap"/>
    <x v="16"/>
    <d v="2025-04-30T00:00:00"/>
    <s v="PAGO INCAP"/>
    <s v="O003"/>
    <m/>
    <n v="69"/>
    <s v="S"/>
    <n v="1533010002"/>
    <m/>
    <m/>
    <m/>
    <m/>
    <m/>
    <m/>
    <m/>
    <m/>
    <n v="-476857"/>
    <s v="COP"/>
    <m/>
    <m/>
    <m/>
    <m/>
    <m/>
    <m/>
    <m/>
    <s v="O003001452"/>
    <m/>
    <m/>
    <n v="20250430"/>
    <m/>
    <m/>
    <n v="20250430"/>
    <m/>
    <n v="8301138310"/>
    <m/>
    <s v="PAGO DE PROV ALIANSALUD EPS"/>
    <m/>
    <x v="0"/>
    <n v="476857"/>
    <n v="4"/>
  </r>
  <r>
    <n v="1"/>
    <s v="SA"/>
    <s v="Pago Incap"/>
    <x v="16"/>
    <d v="2025-04-30T00:00:00"/>
    <s v="PAGO INCAP"/>
    <s v="O003"/>
    <m/>
    <n v="70"/>
    <s v="S"/>
    <n v="1533010002"/>
    <m/>
    <m/>
    <m/>
    <m/>
    <m/>
    <m/>
    <m/>
    <m/>
    <n v="-719338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719338"/>
    <n v="4"/>
  </r>
  <r>
    <n v="1"/>
    <s v="SA"/>
    <s v="Pago Incap"/>
    <x v="16"/>
    <d v="2025-04-30T00:00:00"/>
    <s v="PAGO INCAP"/>
    <s v="O003"/>
    <m/>
    <n v="71"/>
    <s v="S"/>
    <n v="1533010002"/>
    <m/>
    <m/>
    <m/>
    <m/>
    <m/>
    <m/>
    <m/>
    <m/>
    <n v="-6806475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6806475"/>
    <n v="4"/>
  </r>
  <r>
    <n v="1"/>
    <s v="SA"/>
    <s v="Pago Incap"/>
    <x v="16"/>
    <d v="2025-04-30T00:00:00"/>
    <s v="PAGO INCAP"/>
    <s v="O003"/>
    <m/>
    <n v="72"/>
    <s v="S"/>
    <n v="1533010002"/>
    <m/>
    <m/>
    <m/>
    <m/>
    <m/>
    <m/>
    <m/>
    <m/>
    <n v="-130000"/>
    <s v="COP"/>
    <m/>
    <m/>
    <m/>
    <m/>
    <m/>
    <m/>
    <m/>
    <s v="O003001452"/>
    <m/>
    <m/>
    <n v="20250430"/>
    <m/>
    <m/>
    <n v="20250430"/>
    <m/>
    <n v="9001562642"/>
    <m/>
    <s v="PAGO DE PROV NUEVA EMPRESA P"/>
    <m/>
    <x v="0"/>
    <n v="130000"/>
    <n v="4"/>
  </r>
  <r>
    <n v="1"/>
    <s v="SA"/>
    <s v="Pago Incap"/>
    <x v="16"/>
    <d v="2025-04-30T00:00:00"/>
    <s v="PAGO INCAP"/>
    <s v="O003"/>
    <m/>
    <n v="73"/>
    <s v="S"/>
    <n v="1533010002"/>
    <m/>
    <m/>
    <m/>
    <m/>
    <m/>
    <m/>
    <m/>
    <m/>
    <n v="-313977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313977"/>
    <n v="4"/>
  </r>
  <r>
    <n v="1"/>
    <s v="SA"/>
    <s v="Pago Incap"/>
    <x v="16"/>
    <d v="2025-04-30T00:00:00"/>
    <s v="PAGO INCAP"/>
    <s v="O003"/>
    <m/>
    <n v="74"/>
    <s v="S"/>
    <n v="1533010002"/>
    <m/>
    <m/>
    <m/>
    <m/>
    <m/>
    <m/>
    <m/>
    <m/>
    <n v="-189800"/>
    <s v="COP"/>
    <m/>
    <m/>
    <m/>
    <m/>
    <m/>
    <m/>
    <m/>
    <s v="O003001452"/>
    <m/>
    <m/>
    <n v="20250430"/>
    <m/>
    <m/>
    <n v="20250430"/>
    <m/>
    <n v="9009142541"/>
    <m/>
    <s v="PAGO INTERBANC FUNDACION SALUD"/>
    <m/>
    <x v="0"/>
    <n v="189800"/>
    <n v="4"/>
  </r>
  <r>
    <n v="1"/>
    <s v="SA"/>
    <s v="Pago Incap"/>
    <x v="16"/>
    <d v="2025-04-30T00:00:00"/>
    <s v="PAGO INCAP"/>
    <s v="O003"/>
    <m/>
    <n v="75"/>
    <s v="S"/>
    <n v="1533010002"/>
    <m/>
    <m/>
    <m/>
    <m/>
    <m/>
    <m/>
    <m/>
    <m/>
    <n v="-1423500"/>
    <s v="COP"/>
    <m/>
    <m/>
    <m/>
    <m/>
    <m/>
    <m/>
    <m/>
    <s v="O003001452"/>
    <m/>
    <m/>
    <n v="20250430"/>
    <m/>
    <m/>
    <n v="20250430"/>
    <m/>
    <n v="8002492410"/>
    <m/>
    <s v="PAGO INTERBANC COOSALUD-ENTIDA"/>
    <m/>
    <x v="0"/>
    <n v="1423500"/>
    <n v="4"/>
  </r>
  <r>
    <n v="1"/>
    <s v="SA"/>
    <s v="Pago Incap"/>
    <x v="16"/>
    <d v="2025-04-30T00:00:00"/>
    <s v="PAGO INCAP"/>
    <s v="O003"/>
    <m/>
    <n v="76"/>
    <s v="S"/>
    <n v="1533010002"/>
    <m/>
    <m/>
    <m/>
    <m/>
    <m/>
    <m/>
    <m/>
    <m/>
    <n v="-1982076"/>
    <s v="COP"/>
    <m/>
    <m/>
    <m/>
    <m/>
    <m/>
    <m/>
    <m/>
    <s v="O003001452"/>
    <m/>
    <m/>
    <n v="20250430"/>
    <m/>
    <m/>
    <n v="20250430"/>
    <m/>
    <n v="8050011572"/>
    <m/>
    <s v="PAGO INTERBANC EPS  SOS S A"/>
    <m/>
    <x v="0"/>
    <n v="1982076"/>
    <n v="4"/>
  </r>
  <r>
    <n v="1"/>
    <s v="SA"/>
    <s v="Pago Incap"/>
    <x v="16"/>
    <d v="2025-04-30T00:00:00"/>
    <s v="PAGO INCAP"/>
    <s v="O003"/>
    <m/>
    <n v="77"/>
    <s v="S"/>
    <n v="1533010002"/>
    <m/>
    <m/>
    <m/>
    <m/>
    <m/>
    <m/>
    <m/>
    <m/>
    <n v="-5924679"/>
    <s v="COP"/>
    <m/>
    <m/>
    <m/>
    <m/>
    <m/>
    <m/>
    <m/>
    <s v="O003001452"/>
    <m/>
    <m/>
    <n v="20250430"/>
    <m/>
    <m/>
    <n v="20250430"/>
    <m/>
    <n v="9001562642"/>
    <m/>
    <s v="PAGO DE PROV NUEVA EMPRESA P"/>
    <m/>
    <x v="0"/>
    <n v="5924679"/>
    <n v="4"/>
  </r>
  <r>
    <n v="1"/>
    <s v="SA"/>
    <s v="Pago Incap"/>
    <x v="16"/>
    <d v="2025-04-30T00:00:00"/>
    <s v="PAGO INCAP"/>
    <s v="O003"/>
    <m/>
    <n v="78"/>
    <s v="S"/>
    <n v="1533010002"/>
    <m/>
    <m/>
    <m/>
    <m/>
    <m/>
    <m/>
    <m/>
    <m/>
    <n v="-1213229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1213229"/>
    <n v="4"/>
  </r>
  <r>
    <n v="1"/>
    <s v="SA"/>
    <s v="Pago Incap"/>
    <x v="16"/>
    <d v="2025-04-30T00:00:00"/>
    <s v="PAGO INCAP"/>
    <s v="O003"/>
    <m/>
    <n v="79"/>
    <s v="S"/>
    <n v="1533010002"/>
    <m/>
    <m/>
    <m/>
    <m/>
    <m/>
    <m/>
    <m/>
    <m/>
    <n v="-3448576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3448576"/>
    <n v="4"/>
  </r>
  <r>
    <n v="1"/>
    <s v="SA"/>
    <s v="Pago Incap"/>
    <x v="16"/>
    <d v="2025-04-30T00:00:00"/>
    <s v="PAGO INCAP"/>
    <s v="O003"/>
    <m/>
    <n v="80"/>
    <s v="S"/>
    <n v="1533010002"/>
    <m/>
    <m/>
    <m/>
    <m/>
    <m/>
    <m/>
    <m/>
    <m/>
    <n v="-941316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941316"/>
    <n v="4"/>
  </r>
  <r>
    <n v="1"/>
    <s v="SA"/>
    <s v="Pago Incap"/>
    <x v="16"/>
    <d v="2025-04-30T00:00:00"/>
    <s v="PAGO INCAP"/>
    <s v="O003"/>
    <m/>
    <n v="81"/>
    <s v="S"/>
    <n v="1533010002"/>
    <m/>
    <m/>
    <m/>
    <m/>
    <m/>
    <m/>
    <m/>
    <m/>
    <n v="-3193188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3193188"/>
    <n v="4"/>
  </r>
  <r>
    <n v="1"/>
    <s v="SA"/>
    <s v="Pago Incap"/>
    <x v="16"/>
    <d v="2025-04-30T00:00:00"/>
    <s v="PAGO INCAP"/>
    <s v="O003"/>
    <m/>
    <n v="82"/>
    <s v="S"/>
    <n v="1533010002"/>
    <m/>
    <m/>
    <m/>
    <m/>
    <m/>
    <m/>
    <m/>
    <m/>
    <n v="-3877058"/>
    <s v="COP"/>
    <m/>
    <m/>
    <m/>
    <m/>
    <m/>
    <m/>
    <m/>
    <s v="O003001452"/>
    <m/>
    <m/>
    <n v="20250430"/>
    <m/>
    <m/>
    <n v="20250430"/>
    <m/>
    <n v="8000887022"/>
    <m/>
    <s v="PAGO DE PROV EPS SURAMERICAN"/>
    <m/>
    <x v="0"/>
    <n v="3877058"/>
    <n v="4"/>
  </r>
  <r>
    <n v="1"/>
    <s v="SA"/>
    <s v="Pago Incap"/>
    <x v="16"/>
    <d v="2025-04-30T00:00:00"/>
    <s v="PAGO INCAP"/>
    <s v="O003"/>
    <m/>
    <n v="83"/>
    <s v="S"/>
    <n v="1533010002"/>
    <m/>
    <m/>
    <m/>
    <m/>
    <m/>
    <m/>
    <m/>
    <m/>
    <n v="-47450"/>
    <s v="COP"/>
    <m/>
    <m/>
    <m/>
    <m/>
    <m/>
    <m/>
    <m/>
    <s v="O003001452"/>
    <m/>
    <m/>
    <n v="20250430"/>
    <m/>
    <m/>
    <n v="20250430"/>
    <m/>
    <n v="8060083947"/>
    <m/>
    <s v="PAGO INTERBANC MUTUAL SER EPS"/>
    <m/>
    <x v="0"/>
    <n v="47450"/>
    <n v="4"/>
  </r>
  <r>
    <n v="1"/>
    <s v="SA"/>
    <s v="Pago Incap"/>
    <x v="16"/>
    <d v="2025-04-30T00:00:00"/>
    <s v="PAGO INCAP"/>
    <s v="O003"/>
    <m/>
    <n v="84"/>
    <s v="S"/>
    <n v="1533010002"/>
    <m/>
    <m/>
    <m/>
    <m/>
    <m/>
    <m/>
    <m/>
    <m/>
    <n v="-2664122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2664122"/>
    <n v="4"/>
  </r>
  <r>
    <n v="1"/>
    <s v="SA"/>
    <s v="Pago Incap"/>
    <x v="16"/>
    <d v="2025-04-30T00:00:00"/>
    <s v="PAGO INCAP"/>
    <s v="O003"/>
    <m/>
    <n v="85"/>
    <s v="S"/>
    <n v="1533010002"/>
    <m/>
    <m/>
    <m/>
    <m/>
    <m/>
    <m/>
    <m/>
    <m/>
    <n v="-5560792"/>
    <s v="COP"/>
    <m/>
    <m/>
    <m/>
    <m/>
    <m/>
    <m/>
    <m/>
    <s v="O003001452"/>
    <m/>
    <m/>
    <n v="20250430"/>
    <m/>
    <m/>
    <n v="20250430"/>
    <m/>
    <n v="8000887022"/>
    <m/>
    <s v="PAGO DE PROV EPS SURAMERICAN"/>
    <m/>
    <x v="0"/>
    <n v="5560792"/>
    <n v="4"/>
  </r>
  <r>
    <n v="1"/>
    <s v="SA"/>
    <s v="Pago Incap"/>
    <x v="16"/>
    <d v="2025-04-30T00:00:00"/>
    <s v="PAGO INCAP"/>
    <s v="O003"/>
    <m/>
    <n v="86"/>
    <s v="S"/>
    <n v="1533010002"/>
    <m/>
    <m/>
    <m/>
    <m/>
    <m/>
    <m/>
    <m/>
    <m/>
    <n v="-142350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142350"/>
    <n v="4"/>
  </r>
  <r>
    <n v="1"/>
    <s v="SA"/>
    <s v="Pago Incap"/>
    <x v="16"/>
    <d v="2025-04-30T00:00:00"/>
    <s v="PAGO INCAP"/>
    <s v="O003"/>
    <m/>
    <n v="87"/>
    <s v="S"/>
    <n v="1533010002"/>
    <m/>
    <m/>
    <m/>
    <m/>
    <m/>
    <m/>
    <m/>
    <m/>
    <n v="-8105862"/>
    <s v="COP"/>
    <m/>
    <m/>
    <m/>
    <m/>
    <m/>
    <m/>
    <m/>
    <s v="O003001452"/>
    <m/>
    <m/>
    <n v="20250430"/>
    <m/>
    <m/>
    <n v="20250430"/>
    <m/>
    <n v="9001562642"/>
    <m/>
    <s v="PAGO DE PROV NUEVA EMPRESA P"/>
    <m/>
    <x v="0"/>
    <n v="8105862"/>
    <n v="4"/>
  </r>
  <r>
    <n v="1"/>
    <s v="SA"/>
    <s v="Pago Incap"/>
    <x v="16"/>
    <d v="2025-04-30T00:00:00"/>
    <s v="PAGO INCAP"/>
    <s v="O003"/>
    <m/>
    <n v="88"/>
    <s v="S"/>
    <n v="1533010002"/>
    <m/>
    <m/>
    <m/>
    <m/>
    <m/>
    <m/>
    <m/>
    <m/>
    <n v="-5078181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5078181"/>
    <n v="4"/>
  </r>
  <r>
    <n v="1"/>
    <s v="SA"/>
    <s v="Pago Incap"/>
    <x v="16"/>
    <d v="2025-04-30T00:00:00"/>
    <s v="PAGO INCAP"/>
    <s v="O003"/>
    <m/>
    <n v="89"/>
    <s v="S"/>
    <n v="1533010002"/>
    <m/>
    <m/>
    <m/>
    <m/>
    <m/>
    <m/>
    <m/>
    <m/>
    <n v="-47450"/>
    <s v="COP"/>
    <m/>
    <m/>
    <m/>
    <m/>
    <m/>
    <m/>
    <m/>
    <s v="O003001452"/>
    <m/>
    <m/>
    <n v="20250430"/>
    <m/>
    <m/>
    <n v="20250430"/>
    <m/>
    <n v="9006043500"/>
    <m/>
    <s v="PAGO DE PROV AMA EPS S.A.S"/>
    <m/>
    <x v="0"/>
    <n v="47450"/>
    <n v="4"/>
  </r>
  <r>
    <n v="1"/>
    <s v="SA"/>
    <s v="Pago Incap"/>
    <x v="16"/>
    <d v="2025-04-30T00:00:00"/>
    <s v="PAGO INCAP"/>
    <s v="O003"/>
    <m/>
    <n v="90"/>
    <s v="S"/>
    <n v="1533010002"/>
    <m/>
    <m/>
    <m/>
    <m/>
    <m/>
    <m/>
    <m/>
    <m/>
    <n v="-1470950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1470950"/>
    <n v="4"/>
  </r>
  <r>
    <n v="1"/>
    <s v="SA"/>
    <s v="Pago Incap"/>
    <x v="16"/>
    <d v="2025-04-30T00:00:00"/>
    <s v="PAGO INCAP"/>
    <s v="O003"/>
    <m/>
    <n v="91"/>
    <s v="S"/>
    <n v="1533010002"/>
    <m/>
    <m/>
    <m/>
    <m/>
    <m/>
    <m/>
    <m/>
    <m/>
    <n v="-186101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186101"/>
    <n v="4"/>
  </r>
  <r>
    <n v="1"/>
    <s v="SA"/>
    <s v="Pago Incap"/>
    <x v="16"/>
    <d v="2025-04-30T00:00:00"/>
    <s v="PAGO INCAP"/>
    <s v="O003"/>
    <m/>
    <n v="92"/>
    <s v="S"/>
    <n v="1533010002"/>
    <m/>
    <m/>
    <m/>
    <m/>
    <m/>
    <m/>
    <m/>
    <m/>
    <n v="-8301206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8301206"/>
    <n v="4"/>
  </r>
  <r>
    <n v="1"/>
    <s v="SA"/>
    <s v="Pago Incap"/>
    <x v="16"/>
    <d v="2025-04-30T00:00:00"/>
    <s v="PAGO INCAP"/>
    <s v="O003"/>
    <m/>
    <n v="93"/>
    <s v="S"/>
    <n v="1533010002"/>
    <m/>
    <m/>
    <m/>
    <m/>
    <m/>
    <m/>
    <m/>
    <m/>
    <n v="-333540"/>
    <s v="COP"/>
    <m/>
    <m/>
    <m/>
    <m/>
    <m/>
    <m/>
    <m/>
    <s v="O003001452"/>
    <m/>
    <m/>
    <n v="20250430"/>
    <m/>
    <m/>
    <n v="20250430"/>
    <m/>
    <n v="8300035647"/>
    <m/>
    <s v="PAGO INTERBANC EPS FAMISANAR S"/>
    <m/>
    <x v="0"/>
    <n v="333540"/>
    <n v="4"/>
  </r>
  <r>
    <n v="1"/>
    <s v="SA"/>
    <s v="Pago Incap"/>
    <x v="16"/>
    <d v="2025-04-30T00:00:00"/>
    <s v="PAGO INCAP"/>
    <s v="O003"/>
    <m/>
    <n v="94"/>
    <s v="S"/>
    <n v="1533010002"/>
    <m/>
    <m/>
    <m/>
    <m/>
    <m/>
    <m/>
    <m/>
    <m/>
    <n v="-47450"/>
    <s v="COP"/>
    <m/>
    <m/>
    <m/>
    <m/>
    <m/>
    <m/>
    <m/>
    <s v="O003001452"/>
    <m/>
    <m/>
    <n v="20250430"/>
    <m/>
    <m/>
    <n v="20250430"/>
    <m/>
    <n v="8140003371"/>
    <m/>
    <s v="PAGO INTERBANC EMSSANAR ENTIDA"/>
    <m/>
    <x v="0"/>
    <n v="47450"/>
    <n v="4"/>
  </r>
  <r>
    <n v="1"/>
    <s v="SA"/>
    <s v="Pago Incap"/>
    <x v="16"/>
    <d v="2025-04-30T00:00:00"/>
    <s v="PAGO INCAP"/>
    <s v="O003"/>
    <m/>
    <n v="95"/>
    <s v="S"/>
    <n v="1533010002"/>
    <m/>
    <m/>
    <m/>
    <m/>
    <m/>
    <m/>
    <m/>
    <m/>
    <n v="-14238521"/>
    <s v="COP"/>
    <m/>
    <m/>
    <m/>
    <m/>
    <m/>
    <m/>
    <m/>
    <s v="O003001452"/>
    <m/>
    <m/>
    <n v="20250430"/>
    <m/>
    <m/>
    <n v="20250430"/>
    <m/>
    <n v="8001309074"/>
    <m/>
    <s v="PAGO INTERBANC SALUD-TOTAL-EPS"/>
    <m/>
    <x v="0"/>
    <n v="14238521"/>
    <n v="4"/>
  </r>
  <r>
    <n v="1"/>
    <s v="SA"/>
    <s v="Pago Incap"/>
    <x v="16"/>
    <d v="2025-04-30T00:00:00"/>
    <s v="PAGO INCAP"/>
    <s v="O003"/>
    <m/>
    <n v="96"/>
    <s v="S"/>
    <n v="1533010002"/>
    <m/>
    <m/>
    <m/>
    <m/>
    <m/>
    <m/>
    <m/>
    <m/>
    <n v="-68629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68629"/>
    <n v="4"/>
  </r>
  <r>
    <n v="1"/>
    <s v="SA"/>
    <s v="Pago Incap"/>
    <x v="16"/>
    <d v="2025-04-30T00:00:00"/>
    <s v="PAGO INCAP"/>
    <s v="O003"/>
    <m/>
    <n v="97"/>
    <s v="S"/>
    <n v="1533010002"/>
    <m/>
    <m/>
    <m/>
    <m/>
    <m/>
    <m/>
    <m/>
    <m/>
    <n v="-1820350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1820350"/>
    <n v="4"/>
  </r>
  <r>
    <n v="1"/>
    <s v="SA"/>
    <s v="Pago Incap"/>
    <x v="16"/>
    <d v="2025-04-30T00:00:00"/>
    <s v="PAGO INCAP"/>
    <s v="O003"/>
    <m/>
    <n v="98"/>
    <s v="S"/>
    <n v="1533010002"/>
    <m/>
    <m/>
    <m/>
    <m/>
    <m/>
    <m/>
    <m/>
    <m/>
    <n v="-237250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237250"/>
    <n v="4"/>
  </r>
  <r>
    <n v="1"/>
    <s v="SA"/>
    <s v="Pago Incap"/>
    <x v="16"/>
    <d v="2025-04-30T00:00:00"/>
    <s v="PAGO INCAP"/>
    <s v="O003"/>
    <m/>
    <n v="99"/>
    <s v="S"/>
    <n v="1533010002"/>
    <m/>
    <m/>
    <m/>
    <m/>
    <m/>
    <m/>
    <m/>
    <m/>
    <n v="-20769822"/>
    <s v="COP"/>
    <m/>
    <m/>
    <m/>
    <m/>
    <m/>
    <m/>
    <m/>
    <s v="O003001452"/>
    <m/>
    <m/>
    <n v="20250430"/>
    <m/>
    <m/>
    <n v="20250430"/>
    <m/>
    <n v="8001309074"/>
    <m/>
    <s v="PAGO INTERBANC SALUD-TOTAL-EPS"/>
    <m/>
    <x v="0"/>
    <n v="20769822"/>
    <n v="4"/>
  </r>
  <r>
    <n v="1"/>
    <s v="SA"/>
    <s v="Pago Incap"/>
    <x v="16"/>
    <d v="2025-04-30T00:00:00"/>
    <s v="PAGO INCAP"/>
    <s v="O003"/>
    <m/>
    <n v="100"/>
    <s v="S"/>
    <n v="1533010002"/>
    <m/>
    <m/>
    <m/>
    <m/>
    <m/>
    <m/>
    <m/>
    <m/>
    <n v="-3209522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3209522"/>
    <n v="4"/>
  </r>
  <r>
    <n v="1"/>
    <s v="SA"/>
    <s v="Pago Incap"/>
    <x v="16"/>
    <d v="2025-04-30T00:00:00"/>
    <s v="PAGO INCAP"/>
    <s v="O003"/>
    <m/>
    <n v="101"/>
    <s v="S"/>
    <n v="1533010002"/>
    <m/>
    <m/>
    <m/>
    <m/>
    <m/>
    <m/>
    <m/>
    <m/>
    <n v="-1931963"/>
    <s v="COP"/>
    <m/>
    <m/>
    <m/>
    <m/>
    <m/>
    <m/>
    <m/>
    <s v="O003001452"/>
    <m/>
    <m/>
    <n v="20250430"/>
    <m/>
    <m/>
    <n v="20250430"/>
    <m/>
    <n v="8300035647"/>
    <m/>
    <s v="PAGO INTERBANC EPS FAMISANAR S"/>
    <m/>
    <x v="0"/>
    <n v="1931963"/>
    <n v="4"/>
  </r>
  <r>
    <n v="1"/>
    <s v="SA"/>
    <s v="Pago Incap"/>
    <x v="16"/>
    <d v="2025-04-30T00:00:00"/>
    <s v="PAGO INCAP"/>
    <s v="O003"/>
    <m/>
    <n v="102"/>
    <s v="S"/>
    <n v="1533010002"/>
    <m/>
    <m/>
    <m/>
    <m/>
    <m/>
    <m/>
    <m/>
    <m/>
    <n v="-664300"/>
    <s v="COP"/>
    <m/>
    <m/>
    <m/>
    <m/>
    <m/>
    <m/>
    <m/>
    <s v="O003001452"/>
    <m/>
    <m/>
    <n v="20250430"/>
    <m/>
    <m/>
    <n v="20250430"/>
    <m/>
    <n v="9009142541"/>
    <m/>
    <s v="PAGO INTERBANC FUNDACION SALUD"/>
    <m/>
    <x v="0"/>
    <n v="664300"/>
    <n v="4"/>
  </r>
  <r>
    <n v="1"/>
    <s v="SA"/>
    <s v="Pago Incap"/>
    <x v="16"/>
    <d v="2025-04-30T00:00:00"/>
    <s v="PAGO INCAP"/>
    <s v="O003"/>
    <m/>
    <n v="103"/>
    <s v="S"/>
    <n v="1533010002"/>
    <m/>
    <m/>
    <m/>
    <m/>
    <m/>
    <m/>
    <m/>
    <m/>
    <n v="-47450"/>
    <s v="COP"/>
    <m/>
    <m/>
    <m/>
    <m/>
    <m/>
    <m/>
    <m/>
    <s v="O003001452"/>
    <m/>
    <m/>
    <n v="20250430"/>
    <m/>
    <m/>
    <n v="20250430"/>
    <m/>
    <n v="8301138310"/>
    <m/>
    <s v="PAGO DE PROV ALIANSALUD EPS"/>
    <m/>
    <x v="0"/>
    <n v="47450"/>
    <n v="4"/>
  </r>
  <r>
    <n v="1"/>
    <s v="SA"/>
    <s v="Pago Incap"/>
    <x v="16"/>
    <d v="2025-04-30T00:00:00"/>
    <s v="PAGO INCAP"/>
    <s v="O003"/>
    <m/>
    <n v="104"/>
    <s v="S"/>
    <n v="1533010002"/>
    <m/>
    <m/>
    <m/>
    <m/>
    <m/>
    <m/>
    <m/>
    <m/>
    <n v="-3093320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3093320"/>
    <n v="4"/>
  </r>
  <r>
    <n v="1"/>
    <s v="SA"/>
    <s v="Pago Incap"/>
    <x v="16"/>
    <d v="2025-04-30T00:00:00"/>
    <s v="PAGO INCAP"/>
    <s v="O003"/>
    <m/>
    <n v="105"/>
    <s v="S"/>
    <n v="1533010002"/>
    <m/>
    <m/>
    <m/>
    <m/>
    <m/>
    <m/>
    <m/>
    <m/>
    <n v="-142350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142350"/>
    <n v="4"/>
  </r>
  <r>
    <n v="1"/>
    <s v="SA"/>
    <s v="Pago Incap"/>
    <x v="16"/>
    <d v="2025-04-30T00:00:00"/>
    <s v="PAGO INCAP"/>
    <s v="O003"/>
    <m/>
    <n v="106"/>
    <s v="S"/>
    <n v="1533010002"/>
    <m/>
    <m/>
    <m/>
    <m/>
    <m/>
    <m/>
    <m/>
    <m/>
    <n v="-759200"/>
    <s v="COP"/>
    <m/>
    <m/>
    <m/>
    <m/>
    <m/>
    <m/>
    <m/>
    <s v="O003001452"/>
    <m/>
    <m/>
    <n v="20250430"/>
    <m/>
    <m/>
    <n v="20250430"/>
    <m/>
    <n v="9001562642"/>
    <m/>
    <s v="PAGO DE PROV NUEVA EMPRESA P"/>
    <m/>
    <x v="0"/>
    <n v="759200"/>
    <n v="4"/>
  </r>
  <r>
    <n v="1"/>
    <s v="SA"/>
    <s v="Pago Incap"/>
    <x v="16"/>
    <d v="2025-04-30T00:00:00"/>
    <s v="PAGO INCAP"/>
    <s v="O003"/>
    <m/>
    <n v="107"/>
    <s v="S"/>
    <n v="1533010002"/>
    <m/>
    <m/>
    <m/>
    <m/>
    <m/>
    <m/>
    <m/>
    <m/>
    <n v="-3396036"/>
    <s v="COP"/>
    <m/>
    <m/>
    <m/>
    <m/>
    <m/>
    <m/>
    <m/>
    <s v="O003001452"/>
    <m/>
    <m/>
    <n v="20250430"/>
    <m/>
    <m/>
    <n v="20250430"/>
    <m/>
    <n v="8001309074"/>
    <m/>
    <s v="PAGO INTERBANC SALUD-TOTAL-EPS"/>
    <m/>
    <x v="0"/>
    <n v="3396036"/>
    <n v="4"/>
  </r>
  <r>
    <n v="1"/>
    <s v="SA"/>
    <s v="Pago Incap"/>
    <x v="16"/>
    <d v="2025-04-30T00:00:00"/>
    <s v="PAGO INCAP"/>
    <s v="O003"/>
    <m/>
    <n v="108"/>
    <s v="S"/>
    <n v="1533010002"/>
    <m/>
    <m/>
    <m/>
    <m/>
    <m/>
    <m/>
    <m/>
    <m/>
    <n v="-202839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202839"/>
    <n v="4"/>
  </r>
  <r>
    <n v="1"/>
    <s v="SA"/>
    <s v="Pago Incap"/>
    <x v="16"/>
    <d v="2025-04-30T00:00:00"/>
    <s v="PAGO INCAP"/>
    <s v="O003"/>
    <m/>
    <n v="109"/>
    <s v="S"/>
    <n v="1533010002"/>
    <m/>
    <m/>
    <m/>
    <m/>
    <m/>
    <m/>
    <m/>
    <m/>
    <n v="-482720"/>
    <s v="COP"/>
    <m/>
    <m/>
    <m/>
    <m/>
    <m/>
    <m/>
    <m/>
    <s v="O003001452"/>
    <m/>
    <m/>
    <n v="20250430"/>
    <m/>
    <m/>
    <n v="20250430"/>
    <m/>
    <n v="8300035647"/>
    <m/>
    <s v="PAGO INTERBANC EPS FAMISANAR S"/>
    <m/>
    <x v="0"/>
    <n v="482720"/>
    <n v="4"/>
  </r>
  <r>
    <n v="1"/>
    <s v="SA"/>
    <s v="Pago Incap"/>
    <x v="16"/>
    <d v="2025-04-30T00:00:00"/>
    <s v="PAGO INCAP"/>
    <s v="O003"/>
    <m/>
    <n v="110"/>
    <s v="S"/>
    <n v="1533010002"/>
    <m/>
    <m/>
    <m/>
    <m/>
    <m/>
    <m/>
    <m/>
    <m/>
    <n v="-1945450"/>
    <s v="COP"/>
    <m/>
    <m/>
    <m/>
    <m/>
    <m/>
    <m/>
    <m/>
    <s v="O003001452"/>
    <m/>
    <m/>
    <n v="20250430"/>
    <m/>
    <m/>
    <n v="20250430"/>
    <m/>
    <n v="8050011572"/>
    <m/>
    <s v="PAGO INTERBANC EPS  SOS S A"/>
    <m/>
    <x v="0"/>
    <n v="1945450"/>
    <n v="4"/>
  </r>
  <r>
    <n v="1"/>
    <s v="SA"/>
    <s v="Pago Incap"/>
    <x v="16"/>
    <d v="2025-04-30T00:00:00"/>
    <s v="PAGO INCAP"/>
    <s v="O003"/>
    <m/>
    <n v="111"/>
    <s v="S"/>
    <n v="1533010002"/>
    <m/>
    <m/>
    <m/>
    <m/>
    <m/>
    <m/>
    <m/>
    <m/>
    <n v="-521950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521950"/>
    <n v="4"/>
  </r>
  <r>
    <n v="1"/>
    <s v="SA"/>
    <s v="Pago Incap"/>
    <x v="16"/>
    <d v="2025-04-30T00:00:00"/>
    <s v="PAGO INCAP"/>
    <s v="O003"/>
    <m/>
    <n v="112"/>
    <s v="S"/>
    <n v="1533010002"/>
    <m/>
    <m/>
    <m/>
    <m/>
    <m/>
    <m/>
    <m/>
    <m/>
    <n v="-1423500"/>
    <s v="COP"/>
    <m/>
    <m/>
    <m/>
    <m/>
    <m/>
    <m/>
    <m/>
    <s v="O003001452"/>
    <m/>
    <m/>
    <n v="20250430"/>
    <m/>
    <m/>
    <n v="20250430"/>
    <m/>
    <n v="8002514406"/>
    <m/>
    <s v="PAGO INTERBANC EPS SANITAS S A"/>
    <m/>
    <x v="0"/>
    <n v="1423500"/>
    <n v="4"/>
  </r>
  <r>
    <n v="1"/>
    <s v="SA"/>
    <s v="Pago Incap"/>
    <x v="16"/>
    <d v="2025-04-30T00:00:00"/>
    <s v="PAGO INCAP"/>
    <s v="O003"/>
    <m/>
    <n v="113"/>
    <s v="S"/>
    <n v="1533010002"/>
    <m/>
    <m/>
    <m/>
    <m/>
    <m/>
    <m/>
    <m/>
    <m/>
    <n v="-854802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854802"/>
    <n v="4"/>
  </r>
  <r>
    <n v="1"/>
    <s v="SA"/>
    <s v="Pago Incap"/>
    <x v="16"/>
    <d v="2025-04-30T00:00:00"/>
    <s v="PAGO INCAP"/>
    <s v="O003"/>
    <m/>
    <n v="114"/>
    <s v="S"/>
    <n v="1533010002"/>
    <m/>
    <m/>
    <m/>
    <m/>
    <m/>
    <m/>
    <m/>
    <m/>
    <n v="-5347000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5347000"/>
    <n v="4"/>
  </r>
  <r>
    <n v="1"/>
    <s v="SA"/>
    <s v="Pago Incap"/>
    <x v="16"/>
    <d v="2025-04-30T00:00:00"/>
    <s v="PAGO INCAP"/>
    <s v="O003"/>
    <m/>
    <n v="115"/>
    <s v="S"/>
    <n v="1533010002"/>
    <m/>
    <m/>
    <m/>
    <m/>
    <m/>
    <m/>
    <m/>
    <m/>
    <n v="-355066"/>
    <s v="COP"/>
    <m/>
    <m/>
    <m/>
    <m/>
    <m/>
    <m/>
    <m/>
    <s v="O003001452"/>
    <m/>
    <m/>
    <n v="20250430"/>
    <m/>
    <m/>
    <n v="20250430"/>
    <m/>
    <n v="8600669427"/>
    <m/>
    <s v="PAGO INTERBANC CAJA DE COMPENS"/>
    <m/>
    <x v="0"/>
    <n v="355066"/>
    <n v="4"/>
  </r>
  <r>
    <n v="1"/>
    <s v="SA"/>
    <s v="Pago Incap"/>
    <x v="16"/>
    <d v="2025-04-30T00:00:00"/>
    <s v="PAGO INCAP"/>
    <s v="O003"/>
    <m/>
    <n v="116"/>
    <s v="S"/>
    <n v="1533010002"/>
    <m/>
    <m/>
    <m/>
    <m/>
    <m/>
    <m/>
    <m/>
    <m/>
    <n v="-932472"/>
    <s v="COP"/>
    <m/>
    <m/>
    <m/>
    <m/>
    <m/>
    <m/>
    <m/>
    <s v="O003001452"/>
    <m/>
    <m/>
    <n v="20250430"/>
    <m/>
    <m/>
    <n v="20250430"/>
    <m/>
    <n v="8600021839"/>
    <m/>
    <s v="PAGO INTERBANC AXA COLPATRIA S"/>
    <m/>
    <x v="0"/>
    <n v="932472"/>
    <n v="4"/>
  </r>
  <r>
    <n v="1"/>
    <s v="SA"/>
    <s v="Pago Incap"/>
    <x v="16"/>
    <d v="2025-04-30T00:00:00"/>
    <s v="PAGO INCAP"/>
    <s v="O003"/>
    <m/>
    <n v="117"/>
    <s v="S"/>
    <n v="1533010002"/>
    <m/>
    <m/>
    <m/>
    <m/>
    <m/>
    <m/>
    <m/>
    <m/>
    <n v="-8235791"/>
    <s v="COP"/>
    <m/>
    <m/>
    <m/>
    <m/>
    <m/>
    <m/>
    <m/>
    <s v="O003001452"/>
    <m/>
    <m/>
    <n v="20250430"/>
    <m/>
    <m/>
    <n v="20250430"/>
    <m/>
    <n v="8000887022"/>
    <m/>
    <s v="PAGO DE PROV EPS SURAMERICAN"/>
    <m/>
    <x v="0"/>
    <n v="8235791"/>
    <n v="4"/>
  </r>
  <r>
    <n v="1"/>
    <s v="SA"/>
    <s v="Pago Incap"/>
    <x v="16"/>
    <d v="2025-04-30T00:00:00"/>
    <s v="PAGO INCAP"/>
    <s v="O003"/>
    <m/>
    <n v="118"/>
    <s v="S"/>
    <n v="1533010002"/>
    <m/>
    <m/>
    <m/>
    <m/>
    <m/>
    <m/>
    <m/>
    <m/>
    <n v="-142350"/>
    <s v="COP"/>
    <m/>
    <m/>
    <m/>
    <m/>
    <m/>
    <m/>
    <m/>
    <s v="O003001452"/>
    <m/>
    <m/>
    <n v="20250430"/>
    <m/>
    <m/>
    <n v="20250430"/>
    <m/>
    <n v="8060083947"/>
    <m/>
    <s v="PAGO DE PROV ASOCIACION MUTU"/>
    <m/>
    <x v="0"/>
    <n v="142350"/>
    <n v="4"/>
  </r>
  <r>
    <n v="1"/>
    <s v="SA"/>
    <s v="Pago Incap"/>
    <x v="16"/>
    <d v="2025-04-30T00:00:00"/>
    <s v="PAGO INCAP"/>
    <s v="O003"/>
    <m/>
    <n v="2"/>
    <s v="S"/>
    <n v="1533010002"/>
    <m/>
    <m/>
    <m/>
    <m/>
    <m/>
    <m/>
    <m/>
    <m/>
    <n v="-41238"/>
    <s v="COP"/>
    <m/>
    <m/>
    <m/>
    <m/>
    <m/>
    <m/>
    <m/>
    <s v="O003001452"/>
    <m/>
    <m/>
    <n v="20250430"/>
    <m/>
    <m/>
    <n v="20250430"/>
    <n v="8909049961"/>
    <m/>
    <m/>
    <s v="EPM"/>
    <m/>
    <x v="0"/>
    <n v="41238"/>
    <n v="4"/>
  </r>
  <r>
    <n v="1"/>
    <s v="SA"/>
    <s v="Pago Incap"/>
    <x v="16"/>
    <d v="2025-04-30T00:00:00"/>
    <s v="PAGO INCAP"/>
    <s v="O003"/>
    <m/>
    <n v="10"/>
    <s v="S"/>
    <n v="1533010002"/>
    <m/>
    <m/>
    <m/>
    <m/>
    <m/>
    <m/>
    <m/>
    <m/>
    <n v="-3769000"/>
    <s v="COP"/>
    <m/>
    <m/>
    <m/>
    <m/>
    <m/>
    <m/>
    <m/>
    <s v="O003001452"/>
    <m/>
    <m/>
    <n v="20250430"/>
    <m/>
    <m/>
    <n v="20250430"/>
    <n v="1094162154"/>
    <m/>
    <m/>
    <s v="Devolucion Empleado NOMINA"/>
    <m/>
    <x v="0"/>
    <n v="3769000"/>
    <n v="4"/>
  </r>
  <r>
    <n v="1"/>
    <s v="SA"/>
    <s v="Pago Incap"/>
    <x v="16"/>
    <d v="2025-04-30T00:00:00"/>
    <s v="PAGO INCAP"/>
    <s v="O003"/>
    <m/>
    <n v="12"/>
    <s v="S"/>
    <n v="1533010002"/>
    <m/>
    <m/>
    <m/>
    <m/>
    <m/>
    <m/>
    <m/>
    <m/>
    <n v="-14791300"/>
    <s v="COP"/>
    <m/>
    <m/>
    <m/>
    <m/>
    <m/>
    <m/>
    <m/>
    <s v="O003001452"/>
    <m/>
    <m/>
    <n v="20250430"/>
    <m/>
    <m/>
    <n v="20250430"/>
    <n v="1128425981"/>
    <m/>
    <m/>
    <s v="Devolucion Empleado NOMINA"/>
    <m/>
    <x v="0"/>
    <n v="14791300"/>
    <n v="4"/>
  </r>
  <r>
    <n v="1"/>
    <s v="SA"/>
    <s v="Pago Incap"/>
    <x v="16"/>
    <d v="2025-04-30T00:00:00"/>
    <s v="PAGO INCAP"/>
    <s v="O003"/>
    <m/>
    <n v="14"/>
    <s v="S"/>
    <n v="1533010002"/>
    <m/>
    <m/>
    <m/>
    <m/>
    <m/>
    <m/>
    <m/>
    <m/>
    <n v="-57177"/>
    <s v="COP"/>
    <m/>
    <m/>
    <m/>
    <m/>
    <m/>
    <m/>
    <m/>
    <s v="O003001452"/>
    <m/>
    <m/>
    <n v="20250430"/>
    <m/>
    <m/>
    <n v="20250430"/>
    <n v="8600021839"/>
    <m/>
    <m/>
    <s v="PAGO INTERBANCARIOAHORROS 8142"/>
    <m/>
    <x v="0"/>
    <n v="57177"/>
    <n v="4"/>
  </r>
  <r>
    <n v="1"/>
    <s v="SA"/>
    <s v="Pago Incap"/>
    <x v="17"/>
    <d v="2025-05-31T00:00:00"/>
    <s v="PAGO INCAP"/>
    <s v="O003"/>
    <m/>
    <n v="71"/>
    <s v="S"/>
    <n v="1533010002"/>
    <m/>
    <m/>
    <m/>
    <m/>
    <m/>
    <m/>
    <m/>
    <m/>
    <n v="-1856000"/>
    <s v="COP"/>
    <m/>
    <m/>
    <m/>
    <m/>
    <m/>
    <m/>
    <m/>
    <s v="O003001452"/>
    <m/>
    <m/>
    <n v="20250531"/>
    <m/>
    <m/>
    <n v="20250531"/>
    <m/>
    <n v="9001562642"/>
    <m/>
    <s v="PAGO DE PROV NUEVA EMPRESA P"/>
    <m/>
    <x v="0"/>
    <n v="1856000"/>
    <n v="5"/>
  </r>
  <r>
    <n v="1"/>
    <s v="SA"/>
    <s v="Pago Incap"/>
    <x v="17"/>
    <d v="2025-05-31T00:00:00"/>
    <s v="PAGO INCAP"/>
    <s v="O003"/>
    <m/>
    <n v="72"/>
    <s v="S"/>
    <n v="1533010002"/>
    <m/>
    <m/>
    <m/>
    <m/>
    <m/>
    <m/>
    <m/>
    <m/>
    <n v="-1078246"/>
    <s v="COP"/>
    <m/>
    <m/>
    <m/>
    <m/>
    <m/>
    <m/>
    <m/>
    <s v="O003001452"/>
    <m/>
    <m/>
    <n v="20250531"/>
    <m/>
    <m/>
    <n v="20250531"/>
    <m/>
    <n v="8050011572"/>
    <m/>
    <s v="PAGO INTERBANC EPS  SOS S A"/>
    <m/>
    <x v="0"/>
    <n v="1078246"/>
    <n v="5"/>
  </r>
  <r>
    <n v="1"/>
    <s v="SA"/>
    <s v="Pago Incap"/>
    <x v="17"/>
    <d v="2025-05-31T00:00:00"/>
    <s v="PAGO INCAP"/>
    <s v="O003"/>
    <m/>
    <n v="73"/>
    <s v="S"/>
    <n v="1533010002"/>
    <m/>
    <m/>
    <m/>
    <m/>
    <m/>
    <m/>
    <m/>
    <m/>
    <n v="-2260133"/>
    <s v="COP"/>
    <m/>
    <m/>
    <m/>
    <m/>
    <m/>
    <m/>
    <m/>
    <s v="O003001452"/>
    <m/>
    <m/>
    <n v="20250531"/>
    <m/>
    <m/>
    <n v="20250531"/>
    <m/>
    <n v="8600021839"/>
    <m/>
    <s v="PAGO INTERBANC AXA COLPATRIA S"/>
    <m/>
    <x v="0"/>
    <n v="2260133"/>
    <n v="5"/>
  </r>
  <r>
    <n v="1"/>
    <s v="SA"/>
    <s v="Pago Incap"/>
    <x v="17"/>
    <d v="2025-05-31T00:00:00"/>
    <s v="PAGO INCAP"/>
    <s v="O003"/>
    <m/>
    <n v="74"/>
    <s v="S"/>
    <n v="1533010002"/>
    <m/>
    <m/>
    <m/>
    <m/>
    <m/>
    <m/>
    <m/>
    <m/>
    <n v="-189800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189800"/>
    <n v="5"/>
  </r>
  <r>
    <n v="1"/>
    <s v="SA"/>
    <s v="Pago Incap"/>
    <x v="17"/>
    <d v="2025-05-31T00:00:00"/>
    <s v="PAGO INCAP"/>
    <s v="O003"/>
    <m/>
    <n v="75"/>
    <s v="S"/>
    <n v="1533010002"/>
    <m/>
    <m/>
    <m/>
    <m/>
    <m/>
    <m/>
    <m/>
    <m/>
    <n v="-269126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269126"/>
    <n v="5"/>
  </r>
  <r>
    <n v="1"/>
    <s v="SA"/>
    <s v="Pago Incap"/>
    <x v="17"/>
    <d v="2025-05-31T00:00:00"/>
    <s v="PAGO INCAP"/>
    <s v="O003"/>
    <m/>
    <n v="76"/>
    <s v="S"/>
    <n v="1533010002"/>
    <m/>
    <m/>
    <m/>
    <m/>
    <m/>
    <m/>
    <m/>
    <m/>
    <n v="-12318452"/>
    <s v="COP"/>
    <m/>
    <m/>
    <m/>
    <m/>
    <m/>
    <m/>
    <m/>
    <s v="O003001452"/>
    <m/>
    <m/>
    <n v="20250531"/>
    <m/>
    <m/>
    <n v="20250531"/>
    <m/>
    <n v="8000887022"/>
    <m/>
    <s v="PAGO DE PROV EPS SURAMERICAN"/>
    <m/>
    <x v="0"/>
    <n v="12318452"/>
    <n v="5"/>
  </r>
  <r>
    <n v="1"/>
    <s v="SA"/>
    <s v="Pago Incap"/>
    <x v="17"/>
    <d v="2025-05-31T00:00:00"/>
    <s v="PAGO INCAP"/>
    <s v="O003"/>
    <m/>
    <n v="77"/>
    <s v="S"/>
    <n v="1533010002"/>
    <m/>
    <m/>
    <m/>
    <m/>
    <m/>
    <m/>
    <m/>
    <m/>
    <n v="-1423500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1423500"/>
    <n v="5"/>
  </r>
  <r>
    <n v="1"/>
    <s v="SA"/>
    <s v="Pago Incap"/>
    <x v="17"/>
    <d v="2025-05-31T00:00:00"/>
    <s v="PAGO INCAP"/>
    <s v="O003"/>
    <m/>
    <n v="78"/>
    <s v="S"/>
    <n v="1533010002"/>
    <m/>
    <m/>
    <m/>
    <m/>
    <m/>
    <m/>
    <m/>
    <m/>
    <n v="-8538591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8538591"/>
    <n v="5"/>
  </r>
  <r>
    <n v="1"/>
    <s v="SA"/>
    <s v="Pago Incap"/>
    <x v="17"/>
    <d v="2025-05-31T00:00:00"/>
    <s v="PAGO INCAP"/>
    <s v="O003"/>
    <m/>
    <n v="79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142350"/>
    <n v="5"/>
  </r>
  <r>
    <n v="1"/>
    <s v="SA"/>
    <s v="Pago Incap"/>
    <x v="17"/>
    <d v="2025-05-31T00:00:00"/>
    <s v="PAGO INCAP"/>
    <s v="O003"/>
    <m/>
    <n v="80"/>
    <s v="S"/>
    <n v="1533010002"/>
    <m/>
    <m/>
    <m/>
    <m/>
    <m/>
    <m/>
    <m/>
    <m/>
    <n v="-1347450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1347450"/>
    <n v="5"/>
  </r>
  <r>
    <n v="1"/>
    <s v="SA"/>
    <s v="Pago Incap"/>
    <x v="17"/>
    <d v="2025-05-31T00:00:00"/>
    <s v="PAGO INCAP"/>
    <s v="O003"/>
    <m/>
    <n v="81"/>
    <s v="S"/>
    <n v="1533010002"/>
    <m/>
    <m/>
    <m/>
    <m/>
    <m/>
    <m/>
    <m/>
    <m/>
    <n v="-4944047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4944047"/>
    <n v="5"/>
  </r>
  <r>
    <n v="1"/>
    <s v="SA"/>
    <s v="Pago Incap"/>
    <x v="17"/>
    <d v="2025-05-31T00:00:00"/>
    <s v="PAGO INCAP"/>
    <s v="O003"/>
    <m/>
    <n v="82"/>
    <s v="S"/>
    <n v="1533010002"/>
    <m/>
    <m/>
    <m/>
    <m/>
    <m/>
    <m/>
    <m/>
    <m/>
    <n v="-47450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47450"/>
    <n v="5"/>
  </r>
  <r>
    <n v="1"/>
    <s v="SA"/>
    <s v="Pago Incap"/>
    <x v="17"/>
    <d v="2025-05-31T00:00:00"/>
    <s v="PAGO INCAP"/>
    <s v="O003"/>
    <m/>
    <n v="83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8301138310"/>
    <m/>
    <s v="PAGO DE PROV ALIANSALUD EPS"/>
    <m/>
    <x v="0"/>
    <n v="142350"/>
    <n v="5"/>
  </r>
  <r>
    <n v="1"/>
    <s v="SA"/>
    <s v="Pago Incap"/>
    <x v="17"/>
    <d v="2025-05-31T00:00:00"/>
    <s v="PAGO INCAP"/>
    <s v="O003"/>
    <m/>
    <n v="84"/>
    <s v="S"/>
    <n v="1533010002"/>
    <m/>
    <m/>
    <m/>
    <m/>
    <m/>
    <m/>
    <m/>
    <m/>
    <n v="-1423500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1423500"/>
    <n v="5"/>
  </r>
  <r>
    <n v="1"/>
    <s v="SA"/>
    <s v="Pago Incap"/>
    <x v="17"/>
    <d v="2025-05-31T00:00:00"/>
    <s v="PAGO INCAP"/>
    <s v="O003"/>
    <m/>
    <n v="85"/>
    <s v="S"/>
    <n v="1533010002"/>
    <m/>
    <m/>
    <m/>
    <m/>
    <m/>
    <m/>
    <m/>
    <m/>
    <n v="-1328600"/>
    <s v="COP"/>
    <m/>
    <m/>
    <m/>
    <m/>
    <m/>
    <m/>
    <m/>
    <s v="O003001452"/>
    <m/>
    <m/>
    <n v="20250531"/>
    <m/>
    <m/>
    <n v="20250531"/>
    <m/>
    <n v="8060083947"/>
    <m/>
    <s v="PAGO INTERBANC MUTUAL SER EPS"/>
    <m/>
    <x v="0"/>
    <n v="1328600"/>
    <n v="5"/>
  </r>
  <r>
    <n v="1"/>
    <s v="SA"/>
    <s v="Pago Incap"/>
    <x v="17"/>
    <d v="2025-05-31T00:00:00"/>
    <s v="PAGO INCAP"/>
    <s v="O003"/>
    <m/>
    <n v="86"/>
    <s v="S"/>
    <n v="1533010002"/>
    <m/>
    <m/>
    <m/>
    <m/>
    <m/>
    <m/>
    <m/>
    <m/>
    <n v="-1281150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1281150"/>
    <n v="5"/>
  </r>
  <r>
    <n v="1"/>
    <s v="SA"/>
    <s v="Pago Incap"/>
    <x v="17"/>
    <d v="2025-05-31T00:00:00"/>
    <s v="PAGO INCAP"/>
    <s v="O003"/>
    <m/>
    <n v="87"/>
    <s v="S"/>
    <n v="1533010002"/>
    <m/>
    <m/>
    <m/>
    <m/>
    <m/>
    <m/>
    <m/>
    <m/>
    <n v="-1413312"/>
    <s v="COP"/>
    <m/>
    <m/>
    <m/>
    <m/>
    <m/>
    <m/>
    <m/>
    <s v="O003001452"/>
    <m/>
    <m/>
    <n v="20250531"/>
    <m/>
    <m/>
    <n v="20250531"/>
    <m/>
    <n v="8600021839"/>
    <m/>
    <s v="PAGO INTERBANC AXA COLPATRIA S"/>
    <m/>
    <x v="0"/>
    <n v="1413312"/>
    <n v="5"/>
  </r>
  <r>
    <n v="1"/>
    <s v="SA"/>
    <s v="Pago Incap"/>
    <x v="17"/>
    <d v="2025-05-31T00:00:00"/>
    <s v="PAGO INCAP"/>
    <s v="O003"/>
    <m/>
    <n v="88"/>
    <s v="S"/>
    <n v="1533010002"/>
    <m/>
    <m/>
    <m/>
    <m/>
    <m/>
    <m/>
    <m/>
    <m/>
    <n v="-6459107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6459107"/>
    <n v="5"/>
  </r>
  <r>
    <n v="1"/>
    <s v="SA"/>
    <s v="Pago Incap"/>
    <x v="17"/>
    <d v="2025-05-31T00:00:00"/>
    <s v="PAGO INCAP"/>
    <s v="O003"/>
    <m/>
    <n v="89"/>
    <s v="S"/>
    <n v="1533010002"/>
    <m/>
    <m/>
    <m/>
    <m/>
    <m/>
    <m/>
    <m/>
    <m/>
    <n v="-284700"/>
    <s v="COP"/>
    <m/>
    <m/>
    <m/>
    <m/>
    <m/>
    <m/>
    <m/>
    <s v="O003001452"/>
    <m/>
    <m/>
    <n v="20250531"/>
    <m/>
    <m/>
    <n v="20250531"/>
    <m/>
    <n v="8060083947"/>
    <m/>
    <s v="PAGO DE PROV ASOCIACION MUTU"/>
    <m/>
    <x v="0"/>
    <n v="284700"/>
    <n v="5"/>
  </r>
  <r>
    <n v="1"/>
    <s v="SA"/>
    <s v="Pago Incap"/>
    <x v="17"/>
    <d v="2025-05-31T00:00:00"/>
    <s v="PAGO INCAP"/>
    <s v="O003"/>
    <m/>
    <n v="90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9006043500"/>
    <m/>
    <s v="PAGO DE PROV AMA EPS S,A,S"/>
    <m/>
    <x v="0"/>
    <n v="142350"/>
    <n v="5"/>
  </r>
  <r>
    <n v="1"/>
    <s v="SA"/>
    <s v="Pago Incap"/>
    <x v="17"/>
    <d v="2025-05-31T00:00:00"/>
    <s v="PAGO INCAP"/>
    <s v="O003"/>
    <m/>
    <n v="91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9006043500"/>
    <m/>
    <s v="PAGO DE PROV AMA EPS S,A,S"/>
    <m/>
    <x v="0"/>
    <n v="142350"/>
    <n v="5"/>
  </r>
  <r>
    <n v="1"/>
    <s v="SA"/>
    <s v="Pago Incap"/>
    <x v="17"/>
    <d v="2025-05-31T00:00:00"/>
    <s v="PAGO INCAP"/>
    <s v="O003"/>
    <m/>
    <n v="92"/>
    <s v="S"/>
    <n v="1533010002"/>
    <m/>
    <m/>
    <m/>
    <m/>
    <m/>
    <m/>
    <m/>
    <m/>
    <n v="-9229350"/>
    <s v="COP"/>
    <m/>
    <m/>
    <m/>
    <m/>
    <m/>
    <m/>
    <m/>
    <s v="O003001452"/>
    <m/>
    <m/>
    <n v="20250531"/>
    <m/>
    <m/>
    <n v="20250531"/>
    <m/>
    <n v="9001562642"/>
    <m/>
    <s v="PAGO DE PROV NUEVA EMPRESA P"/>
    <m/>
    <x v="0"/>
    <n v="9229350"/>
    <n v="5"/>
  </r>
  <r>
    <n v="1"/>
    <s v="SA"/>
    <s v="Pago Incap"/>
    <x v="17"/>
    <d v="2025-05-31T00:00:00"/>
    <s v="PAGO INCAP"/>
    <s v="O003"/>
    <m/>
    <n v="93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9006043500"/>
    <m/>
    <s v="PAGO DE PROV AMA EPS S,A,S"/>
    <m/>
    <x v="0"/>
    <n v="142350"/>
    <n v="5"/>
  </r>
  <r>
    <n v="1"/>
    <s v="SA"/>
    <s v="Pago Incap"/>
    <x v="17"/>
    <d v="2025-05-31T00:00:00"/>
    <s v="PAGO INCAP"/>
    <s v="O003"/>
    <m/>
    <n v="94"/>
    <s v="S"/>
    <n v="1533010002"/>
    <m/>
    <m/>
    <m/>
    <m/>
    <m/>
    <m/>
    <m/>
    <m/>
    <n v="-616850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616850"/>
    <n v="5"/>
  </r>
  <r>
    <n v="1"/>
    <s v="SA"/>
    <s v="Pago Incap"/>
    <x v="17"/>
    <d v="2025-05-31T00:00:00"/>
    <s v="PAGO INCAP"/>
    <s v="O003"/>
    <m/>
    <n v="95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8050011572"/>
    <m/>
    <s v="PAGO INTERBANC EPS  SOS S A"/>
    <m/>
    <x v="0"/>
    <n v="142350"/>
    <n v="5"/>
  </r>
  <r>
    <n v="1"/>
    <s v="SA"/>
    <s v="Pago Incap"/>
    <x v="17"/>
    <d v="2025-05-31T00:00:00"/>
    <s v="PAGO INCAP"/>
    <s v="O003"/>
    <m/>
    <n v="96"/>
    <s v="S"/>
    <n v="1533010002"/>
    <m/>
    <m/>
    <m/>
    <m/>
    <m/>
    <m/>
    <m/>
    <m/>
    <n v="-702520"/>
    <s v="COP"/>
    <m/>
    <m/>
    <m/>
    <m/>
    <m/>
    <m/>
    <m/>
    <s v="O003001452"/>
    <m/>
    <m/>
    <n v="20250531"/>
    <m/>
    <m/>
    <n v="20250531"/>
    <m/>
    <n v="8600021839"/>
    <m/>
    <s v="PAGO INTERBANC AXA COLPATRIA S"/>
    <m/>
    <x v="0"/>
    <n v="702520"/>
    <n v="5"/>
  </r>
  <r>
    <n v="1"/>
    <s v="SA"/>
    <s v="Pago Incap"/>
    <x v="17"/>
    <d v="2025-05-31T00:00:00"/>
    <s v="PAGO INCAP"/>
    <s v="O003"/>
    <m/>
    <n v="97"/>
    <s v="S"/>
    <n v="1533010002"/>
    <m/>
    <m/>
    <m/>
    <m/>
    <m/>
    <m/>
    <m/>
    <m/>
    <n v="-2862842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2862842"/>
    <n v="5"/>
  </r>
  <r>
    <n v="1"/>
    <s v="SA"/>
    <s v="Pago Incap"/>
    <x v="17"/>
    <d v="2025-05-31T00:00:00"/>
    <s v="PAGO INCAP"/>
    <s v="O003"/>
    <m/>
    <n v="98"/>
    <s v="S"/>
    <n v="1533010002"/>
    <m/>
    <m/>
    <m/>
    <m/>
    <m/>
    <m/>
    <m/>
    <m/>
    <n v="-711750"/>
    <s v="COP"/>
    <m/>
    <m/>
    <m/>
    <m/>
    <m/>
    <m/>
    <m/>
    <s v="O003001452"/>
    <m/>
    <m/>
    <n v="20250531"/>
    <m/>
    <m/>
    <n v="20250531"/>
    <m/>
    <n v="8140003371"/>
    <m/>
    <s v="PAGO INTERBANC EMSSANAR ENTIDA"/>
    <m/>
    <x v="0"/>
    <n v="711750"/>
    <n v="5"/>
  </r>
  <r>
    <n v="1"/>
    <s v="SA"/>
    <s v="Pago Incap"/>
    <x v="17"/>
    <d v="2025-05-31T00:00:00"/>
    <s v="PAGO INCAP"/>
    <s v="O003"/>
    <m/>
    <n v="99"/>
    <s v="S"/>
    <n v="1533010002"/>
    <m/>
    <m/>
    <m/>
    <m/>
    <m/>
    <m/>
    <m/>
    <m/>
    <n v="-5400493"/>
    <s v="COP"/>
    <m/>
    <m/>
    <m/>
    <m/>
    <m/>
    <m/>
    <m/>
    <s v="O003001452"/>
    <m/>
    <m/>
    <n v="20250531"/>
    <m/>
    <m/>
    <n v="20250531"/>
    <m/>
    <n v="8600021839"/>
    <m/>
    <s v="PAGO INTERBANC AXA COLPATRIA S"/>
    <m/>
    <x v="0"/>
    <n v="5400493"/>
    <n v="5"/>
  </r>
  <r>
    <n v="1"/>
    <s v="SA"/>
    <s v="Pago Incap"/>
    <x v="17"/>
    <d v="2025-05-31T00:00:00"/>
    <s v="PAGO INCAP"/>
    <s v="O003"/>
    <m/>
    <n v="100"/>
    <s v="S"/>
    <n v="1533010002"/>
    <m/>
    <m/>
    <m/>
    <m/>
    <m/>
    <m/>
    <m/>
    <m/>
    <n v="-2944017"/>
    <s v="COP"/>
    <m/>
    <m/>
    <m/>
    <m/>
    <m/>
    <m/>
    <m/>
    <s v="O003001452"/>
    <m/>
    <m/>
    <n v="20250531"/>
    <m/>
    <m/>
    <n v="20250531"/>
    <m/>
    <n v="8600021839"/>
    <m/>
    <s v="PAGO INTERBANC AXA COLPATRIA S"/>
    <m/>
    <x v="0"/>
    <n v="2944017"/>
    <n v="5"/>
  </r>
  <r>
    <n v="1"/>
    <s v="SA"/>
    <s v="Pago Incap"/>
    <x v="17"/>
    <d v="2025-05-31T00:00:00"/>
    <s v="PAGO INCAP"/>
    <s v="O003"/>
    <m/>
    <n v="101"/>
    <s v="S"/>
    <n v="1533010002"/>
    <m/>
    <m/>
    <m/>
    <m/>
    <m/>
    <m/>
    <m/>
    <m/>
    <n v="-709577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709577"/>
    <n v="5"/>
  </r>
  <r>
    <n v="1"/>
    <s v="SA"/>
    <s v="Pago Incap"/>
    <x v="17"/>
    <d v="2025-05-31T00:00:00"/>
    <s v="PAGO INCAP"/>
    <s v="O003"/>
    <m/>
    <n v="102"/>
    <s v="S"/>
    <n v="1533010002"/>
    <m/>
    <m/>
    <m/>
    <m/>
    <m/>
    <m/>
    <m/>
    <m/>
    <n v="-237250"/>
    <s v="COP"/>
    <m/>
    <m/>
    <m/>
    <m/>
    <m/>
    <m/>
    <m/>
    <s v="O003001452"/>
    <m/>
    <m/>
    <n v="20250531"/>
    <m/>
    <m/>
    <n v="20250531"/>
    <m/>
    <n v="8060083947"/>
    <m/>
    <s v="PAGO DE PROV ASOCIACION MUTU"/>
    <m/>
    <x v="0"/>
    <n v="237250"/>
    <n v="5"/>
  </r>
  <r>
    <n v="1"/>
    <s v="SA"/>
    <s v="Pago Incap"/>
    <x v="17"/>
    <d v="2025-05-31T00:00:00"/>
    <s v="PAGO INCAP"/>
    <s v="O003"/>
    <m/>
    <n v="103"/>
    <s v="S"/>
    <n v="1533010002"/>
    <m/>
    <m/>
    <m/>
    <m/>
    <m/>
    <m/>
    <m/>
    <m/>
    <n v="-1516667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1516667"/>
    <n v="5"/>
  </r>
  <r>
    <n v="1"/>
    <s v="SA"/>
    <s v="Pago Incap"/>
    <x v="17"/>
    <d v="2025-05-31T00:00:00"/>
    <s v="PAGO INCAP"/>
    <s v="O003"/>
    <m/>
    <n v="104"/>
    <s v="S"/>
    <n v="1533010002"/>
    <m/>
    <m/>
    <m/>
    <m/>
    <m/>
    <m/>
    <m/>
    <m/>
    <n v="-1423500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1423500"/>
    <n v="5"/>
  </r>
  <r>
    <n v="1"/>
    <s v="SA"/>
    <s v="Pago Incap"/>
    <x v="17"/>
    <d v="2025-05-31T00:00:00"/>
    <s v="PAGO INCAP"/>
    <s v="O003"/>
    <m/>
    <n v="105"/>
    <s v="S"/>
    <n v="1533010002"/>
    <m/>
    <m/>
    <m/>
    <m/>
    <m/>
    <m/>
    <m/>
    <m/>
    <n v="-4582788"/>
    <s v="COP"/>
    <m/>
    <m/>
    <m/>
    <m/>
    <m/>
    <m/>
    <m/>
    <s v="O003001452"/>
    <m/>
    <m/>
    <n v="20250531"/>
    <m/>
    <m/>
    <n v="20250531"/>
    <m/>
    <n v="8001309074"/>
    <m/>
    <s v="PAGO INTERBANC SALUD-TOTAL-EPS"/>
    <m/>
    <x v="0"/>
    <n v="4582788"/>
    <n v="5"/>
  </r>
  <r>
    <n v="1"/>
    <s v="SA"/>
    <s v="Pago Incap"/>
    <x v="17"/>
    <d v="2025-05-31T00:00:00"/>
    <s v="PAGO INCAP"/>
    <s v="O003"/>
    <m/>
    <n v="106"/>
    <s v="S"/>
    <n v="1533010002"/>
    <m/>
    <m/>
    <m/>
    <m/>
    <m/>
    <m/>
    <m/>
    <m/>
    <n v="-9005645"/>
    <s v="COP"/>
    <m/>
    <m/>
    <m/>
    <m/>
    <m/>
    <m/>
    <m/>
    <s v="O003001452"/>
    <m/>
    <m/>
    <n v="20250531"/>
    <m/>
    <m/>
    <n v="20250531"/>
    <m/>
    <n v="9001562642"/>
    <m/>
    <s v="PAGO DE PROV NUEVA EMPRESA P"/>
    <m/>
    <x v="0"/>
    <n v="9005645"/>
    <n v="5"/>
  </r>
  <r>
    <n v="1"/>
    <s v="SA"/>
    <s v="Pago Incap"/>
    <x v="17"/>
    <d v="2025-05-31T00:00:00"/>
    <s v="PAGO INCAP"/>
    <s v="O003"/>
    <m/>
    <n v="107"/>
    <s v="S"/>
    <n v="1533010002"/>
    <m/>
    <m/>
    <m/>
    <m/>
    <m/>
    <m/>
    <m/>
    <m/>
    <n v="-711750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711750"/>
    <n v="5"/>
  </r>
  <r>
    <n v="1"/>
    <s v="SA"/>
    <s v="Pago Incap"/>
    <x v="17"/>
    <d v="2025-05-31T00:00:00"/>
    <s v="PAGO INCAP"/>
    <s v="O003"/>
    <m/>
    <n v="108"/>
    <s v="S"/>
    <n v="1533010002"/>
    <m/>
    <m/>
    <m/>
    <m/>
    <m/>
    <m/>
    <m/>
    <m/>
    <n v="-23577201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23577201"/>
    <n v="5"/>
  </r>
  <r>
    <n v="1"/>
    <s v="SA"/>
    <s v="Pago Incap"/>
    <x v="17"/>
    <d v="2025-05-31T00:00:00"/>
    <s v="PAGO INCAP"/>
    <s v="O003"/>
    <m/>
    <n v="109"/>
    <s v="S"/>
    <n v="1533010002"/>
    <m/>
    <m/>
    <m/>
    <m/>
    <m/>
    <m/>
    <m/>
    <m/>
    <n v="-43334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43334"/>
    <n v="5"/>
  </r>
  <r>
    <n v="1"/>
    <s v="SA"/>
    <s v="Pago Incap"/>
    <x v="17"/>
    <d v="2025-05-31T00:00:00"/>
    <s v="PAGO INCAP"/>
    <s v="O003"/>
    <m/>
    <n v="110"/>
    <s v="S"/>
    <n v="1533010002"/>
    <m/>
    <m/>
    <m/>
    <m/>
    <m/>
    <m/>
    <m/>
    <m/>
    <n v="-1376050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1376050"/>
    <n v="5"/>
  </r>
  <r>
    <n v="1"/>
    <s v="SA"/>
    <s v="Pago Incap"/>
    <x v="17"/>
    <d v="2025-05-31T00:00:00"/>
    <s v="PAGO INCAP"/>
    <s v="O003"/>
    <m/>
    <n v="111"/>
    <s v="S"/>
    <n v="1533010002"/>
    <m/>
    <m/>
    <m/>
    <m/>
    <m/>
    <m/>
    <m/>
    <m/>
    <n v="-43334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43334"/>
    <n v="5"/>
  </r>
  <r>
    <n v="1"/>
    <s v="SA"/>
    <s v="Pago Incap"/>
    <x v="17"/>
    <d v="2025-05-31T00:00:00"/>
    <s v="PAGO INCAP"/>
    <s v="O003"/>
    <m/>
    <n v="112"/>
    <s v="S"/>
    <n v="1533010002"/>
    <m/>
    <m/>
    <m/>
    <m/>
    <m/>
    <m/>
    <m/>
    <m/>
    <n v="-379600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379600"/>
    <n v="5"/>
  </r>
  <r>
    <n v="1"/>
    <s v="SA"/>
    <s v="Pago Incap"/>
    <x v="17"/>
    <d v="2025-05-31T00:00:00"/>
    <s v="PAGO INCAP"/>
    <s v="O003"/>
    <m/>
    <n v="113"/>
    <s v="S"/>
    <n v="1533010002"/>
    <m/>
    <m/>
    <m/>
    <m/>
    <m/>
    <m/>
    <m/>
    <m/>
    <n v="-642628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642628"/>
    <n v="5"/>
  </r>
  <r>
    <n v="1"/>
    <s v="SA"/>
    <s v="Pago Incap"/>
    <x v="17"/>
    <d v="2025-05-31T00:00:00"/>
    <s v="PAGO INCAP"/>
    <s v="O003"/>
    <m/>
    <n v="114"/>
    <s v="S"/>
    <n v="1533010002"/>
    <m/>
    <m/>
    <m/>
    <m/>
    <m/>
    <m/>
    <m/>
    <m/>
    <n v="-491529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491529"/>
    <n v="5"/>
  </r>
  <r>
    <n v="1"/>
    <s v="SA"/>
    <s v="Pago Incap"/>
    <x v="17"/>
    <d v="2025-05-31T00:00:00"/>
    <s v="PAGO INCAP"/>
    <s v="O003"/>
    <m/>
    <n v="115"/>
    <s v="S"/>
    <n v="1533010002"/>
    <m/>
    <m/>
    <m/>
    <m/>
    <m/>
    <m/>
    <m/>
    <m/>
    <n v="-379600"/>
    <s v="COP"/>
    <m/>
    <m/>
    <m/>
    <m/>
    <m/>
    <m/>
    <m/>
    <s v="O003001452"/>
    <m/>
    <m/>
    <n v="20250531"/>
    <m/>
    <m/>
    <n v="20250531"/>
    <m/>
    <n v="8140003371"/>
    <m/>
    <s v="PAGO INTERBANC EMSSANAR ENTIDA"/>
    <m/>
    <x v="0"/>
    <n v="379600"/>
    <n v="5"/>
  </r>
  <r>
    <n v="1"/>
    <s v="SA"/>
    <s v="Pago Incap"/>
    <x v="17"/>
    <d v="2025-05-31T00:00:00"/>
    <s v="PAGO INCAP"/>
    <s v="O003"/>
    <m/>
    <n v="116"/>
    <s v="S"/>
    <n v="1533010002"/>
    <m/>
    <m/>
    <m/>
    <m/>
    <m/>
    <m/>
    <m/>
    <m/>
    <n v="-417799"/>
    <s v="COP"/>
    <m/>
    <m/>
    <m/>
    <m/>
    <m/>
    <m/>
    <m/>
    <s v="O003001452"/>
    <m/>
    <m/>
    <n v="20250531"/>
    <m/>
    <m/>
    <n v="20250531"/>
    <m/>
    <n v="8301138310"/>
    <m/>
    <s v="PAGO DE PROV ALIANSALUD EPS"/>
    <m/>
    <x v="0"/>
    <n v="417799"/>
    <n v="5"/>
  </r>
  <r>
    <n v="1"/>
    <s v="SA"/>
    <s v="Pago Incap"/>
    <x v="17"/>
    <d v="2025-05-31T00:00:00"/>
    <s v="PAGO INCAP"/>
    <s v="O003"/>
    <m/>
    <n v="117"/>
    <s v="S"/>
    <n v="1533010002"/>
    <m/>
    <m/>
    <m/>
    <m/>
    <m/>
    <m/>
    <m/>
    <m/>
    <n v="-11199048"/>
    <s v="COP"/>
    <m/>
    <m/>
    <m/>
    <m/>
    <m/>
    <m/>
    <m/>
    <s v="O003001452"/>
    <m/>
    <m/>
    <n v="20250531"/>
    <m/>
    <m/>
    <n v="20250531"/>
    <m/>
    <n v="8301138310"/>
    <m/>
    <s v="PAGO DE PROV ALIANSALUD EPS"/>
    <m/>
    <x v="0"/>
    <n v="11199048"/>
    <n v="5"/>
  </r>
  <r>
    <n v="1"/>
    <s v="SA"/>
    <s v="Pago Incap"/>
    <x v="17"/>
    <d v="2025-05-31T00:00:00"/>
    <s v="PAGO INCAP"/>
    <s v="O003"/>
    <m/>
    <n v="118"/>
    <s v="S"/>
    <n v="1533010002"/>
    <m/>
    <m/>
    <m/>
    <m/>
    <m/>
    <m/>
    <m/>
    <m/>
    <n v="-616850"/>
    <s v="COP"/>
    <m/>
    <m/>
    <m/>
    <m/>
    <m/>
    <m/>
    <m/>
    <s v="O003001452"/>
    <m/>
    <m/>
    <n v="20250531"/>
    <m/>
    <m/>
    <n v="20250531"/>
    <m/>
    <n v="8002492410"/>
    <m/>
    <s v="PAGO INTERBANC COOSALUD-ENTIDA"/>
    <m/>
    <x v="0"/>
    <n v="616850"/>
    <n v="5"/>
  </r>
  <r>
    <n v="1"/>
    <s v="SA"/>
    <s v="Pago Incap"/>
    <x v="17"/>
    <d v="2025-05-31T00:00:00"/>
    <s v="PAGO INCAP"/>
    <s v="O003"/>
    <m/>
    <n v="119"/>
    <s v="S"/>
    <n v="1533010002"/>
    <m/>
    <m/>
    <m/>
    <m/>
    <m/>
    <m/>
    <m/>
    <m/>
    <n v="-28603962"/>
    <s v="COP"/>
    <m/>
    <m/>
    <m/>
    <m/>
    <m/>
    <m/>
    <m/>
    <s v="O003001452"/>
    <m/>
    <m/>
    <n v="20250531"/>
    <m/>
    <m/>
    <n v="20250531"/>
    <m/>
    <n v="8000887022"/>
    <m/>
    <s v="PAGO DE PROV EPS SURAMERICAN"/>
    <m/>
    <x v="0"/>
    <n v="28603962"/>
    <n v="5"/>
  </r>
  <r>
    <n v="1"/>
    <s v="SA"/>
    <s v="Pago Incap"/>
    <x v="17"/>
    <d v="2025-05-31T00:00:00"/>
    <s v="PAGO INCAP"/>
    <s v="O003"/>
    <m/>
    <n v="120"/>
    <s v="S"/>
    <n v="1533010002"/>
    <m/>
    <m/>
    <m/>
    <m/>
    <m/>
    <m/>
    <m/>
    <m/>
    <n v="-6069798"/>
    <s v="COP"/>
    <m/>
    <m/>
    <m/>
    <m/>
    <m/>
    <m/>
    <m/>
    <s v="O003001452"/>
    <m/>
    <m/>
    <n v="20250531"/>
    <m/>
    <m/>
    <n v="20250531"/>
    <m/>
    <n v="8001309074"/>
    <m/>
    <s v="PAGO INTERBANC SALUD-TOTAL-EPS"/>
    <m/>
    <x v="0"/>
    <n v="6069798"/>
    <n v="5"/>
  </r>
  <r>
    <n v="1"/>
    <s v="SA"/>
    <s v="Pago Incap"/>
    <x v="17"/>
    <d v="2025-05-31T00:00:00"/>
    <s v="PAGO INCAP"/>
    <s v="O003"/>
    <m/>
    <n v="121"/>
    <s v="S"/>
    <n v="1533010002"/>
    <m/>
    <m/>
    <m/>
    <m/>
    <m/>
    <m/>
    <m/>
    <m/>
    <n v="-17835355"/>
    <s v="COP"/>
    <m/>
    <m/>
    <m/>
    <m/>
    <m/>
    <m/>
    <m/>
    <s v="O003001452"/>
    <m/>
    <m/>
    <n v="20250531"/>
    <m/>
    <m/>
    <n v="20250531"/>
    <m/>
    <n v="8001309074"/>
    <m/>
    <s v="PAGO INTERBANC SALUD-TOTAL-EPS"/>
    <m/>
    <x v="0"/>
    <n v="17835355"/>
    <n v="5"/>
  </r>
  <r>
    <n v="1"/>
    <s v="SA"/>
    <s v="Pago Incap"/>
    <x v="17"/>
    <d v="2025-05-31T00:00:00"/>
    <s v="PAGO INCAP"/>
    <s v="O003"/>
    <m/>
    <n v="122"/>
    <s v="S"/>
    <n v="1533010002"/>
    <m/>
    <m/>
    <m/>
    <m/>
    <m/>
    <m/>
    <m/>
    <m/>
    <n v="-3738454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3738454"/>
    <n v="5"/>
  </r>
  <r>
    <n v="1"/>
    <s v="SA"/>
    <s v="Pago Incap"/>
    <x v="17"/>
    <d v="2025-05-31T00:00:00"/>
    <s v="PAGO INCAP"/>
    <s v="O003"/>
    <m/>
    <n v="123"/>
    <s v="S"/>
    <n v="1533010002"/>
    <m/>
    <m/>
    <m/>
    <m/>
    <m/>
    <m/>
    <m/>
    <m/>
    <n v="-229209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229209"/>
    <n v="5"/>
  </r>
  <r>
    <n v="1"/>
    <s v="SA"/>
    <s v="Pago Incap"/>
    <x v="17"/>
    <d v="2025-05-31T00:00:00"/>
    <s v="PAGO INCAP"/>
    <s v="O003"/>
    <m/>
    <n v="124"/>
    <s v="S"/>
    <n v="1533010002"/>
    <m/>
    <m/>
    <m/>
    <m/>
    <m/>
    <m/>
    <m/>
    <m/>
    <n v="-142350"/>
    <s v="COP"/>
    <m/>
    <m/>
    <m/>
    <m/>
    <m/>
    <m/>
    <m/>
    <s v="O003001452"/>
    <m/>
    <m/>
    <n v="20250531"/>
    <m/>
    <m/>
    <n v="20250531"/>
    <m/>
    <n v="8060083947"/>
    <m/>
    <s v="PAGO INTERBANC MUTUAL SER EPS"/>
    <m/>
    <x v="0"/>
    <n v="142350"/>
    <n v="5"/>
  </r>
  <r>
    <n v="1"/>
    <s v="SA"/>
    <s v="Pago Incap"/>
    <x v="17"/>
    <d v="2025-05-31T00:00:00"/>
    <s v="PAGO INCAP"/>
    <s v="O003"/>
    <m/>
    <n v="125"/>
    <s v="S"/>
    <n v="1533010002"/>
    <m/>
    <m/>
    <m/>
    <m/>
    <m/>
    <m/>
    <m/>
    <m/>
    <n v="-191485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191485"/>
    <n v="5"/>
  </r>
  <r>
    <n v="1"/>
    <s v="SA"/>
    <s v="Pago Incap"/>
    <x v="17"/>
    <d v="2025-05-31T00:00:00"/>
    <s v="PAGO INCAP"/>
    <s v="O003"/>
    <m/>
    <n v="126"/>
    <s v="S"/>
    <n v="1533010002"/>
    <m/>
    <m/>
    <m/>
    <m/>
    <m/>
    <m/>
    <m/>
    <m/>
    <n v="-650194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650194"/>
    <n v="5"/>
  </r>
  <r>
    <n v="1"/>
    <s v="SA"/>
    <s v="Pago Incap"/>
    <x v="17"/>
    <d v="2025-05-31T00:00:00"/>
    <s v="PAGO INCAP"/>
    <s v="O003"/>
    <m/>
    <n v="127"/>
    <s v="S"/>
    <n v="1533010002"/>
    <m/>
    <m/>
    <m/>
    <m/>
    <m/>
    <m/>
    <m/>
    <m/>
    <n v="-1772722"/>
    <s v="COP"/>
    <m/>
    <m/>
    <m/>
    <m/>
    <m/>
    <m/>
    <m/>
    <s v="O003001452"/>
    <m/>
    <m/>
    <n v="20250531"/>
    <m/>
    <m/>
    <n v="20250531"/>
    <m/>
    <n v="8600021839"/>
    <m/>
    <s v="PAGO INTERBANC AXA COLPATRIA S"/>
    <m/>
    <x v="0"/>
    <n v="1772722"/>
    <n v="5"/>
  </r>
  <r>
    <n v="1"/>
    <s v="SA"/>
    <s v="Pago Incap"/>
    <x v="17"/>
    <d v="2025-05-31T00:00:00"/>
    <s v="PAGO INCAP"/>
    <s v="O003"/>
    <m/>
    <n v="128"/>
    <s v="S"/>
    <n v="1533010002"/>
    <m/>
    <m/>
    <m/>
    <m/>
    <m/>
    <m/>
    <m/>
    <m/>
    <n v="-3863977"/>
    <s v="COP"/>
    <m/>
    <m/>
    <m/>
    <m/>
    <m/>
    <m/>
    <m/>
    <s v="O003001452"/>
    <m/>
    <m/>
    <n v="20250531"/>
    <m/>
    <m/>
    <n v="20250531"/>
    <m/>
    <n v="9001562642"/>
    <m/>
    <s v="PAGO DE PROV NUEVA EMPRESA P"/>
    <m/>
    <x v="0"/>
    <n v="3863977"/>
    <n v="5"/>
  </r>
  <r>
    <n v="1"/>
    <s v="SA"/>
    <s v="Pago Incap"/>
    <x v="17"/>
    <d v="2025-05-31T00:00:00"/>
    <s v="PAGO INCAP"/>
    <s v="O003"/>
    <m/>
    <n v="129"/>
    <s v="S"/>
    <n v="1533010002"/>
    <m/>
    <m/>
    <m/>
    <m/>
    <m/>
    <m/>
    <m/>
    <m/>
    <n v="-189800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189800"/>
    <n v="5"/>
  </r>
  <r>
    <n v="1"/>
    <s v="SA"/>
    <s v="Pago Incap"/>
    <x v="17"/>
    <d v="2025-05-31T00:00:00"/>
    <s v="PAGO INCAP"/>
    <s v="O003"/>
    <m/>
    <n v="130"/>
    <s v="S"/>
    <n v="1533010002"/>
    <m/>
    <m/>
    <m/>
    <m/>
    <m/>
    <m/>
    <m/>
    <m/>
    <n v="-5371116"/>
    <s v="COP"/>
    <m/>
    <m/>
    <m/>
    <m/>
    <m/>
    <m/>
    <m/>
    <s v="O003001452"/>
    <m/>
    <m/>
    <n v="20250531"/>
    <m/>
    <m/>
    <n v="20250531"/>
    <m/>
    <n v="8000887022"/>
    <m/>
    <s v="PAGO DE PROV EPS SURAMERICAN"/>
    <m/>
    <x v="0"/>
    <n v="5371116"/>
    <n v="5"/>
  </r>
  <r>
    <n v="1"/>
    <s v="SA"/>
    <s v="Pago Incap"/>
    <x v="17"/>
    <d v="2025-05-31T00:00:00"/>
    <s v="PAGO INCAP"/>
    <s v="O003"/>
    <m/>
    <n v="131"/>
    <s v="S"/>
    <n v="1533010002"/>
    <m/>
    <m/>
    <m/>
    <m/>
    <m/>
    <m/>
    <m/>
    <m/>
    <n v="-30625005"/>
    <s v="COP"/>
    <m/>
    <m/>
    <m/>
    <m/>
    <m/>
    <m/>
    <m/>
    <s v="O003001452"/>
    <m/>
    <m/>
    <n v="20250531"/>
    <m/>
    <m/>
    <n v="20250531"/>
    <m/>
    <n v="8000887022"/>
    <m/>
    <s v="PAGO DE PROV EPS SURAMERICAN"/>
    <m/>
    <x v="0"/>
    <n v="30625005"/>
    <n v="5"/>
  </r>
  <r>
    <n v="1"/>
    <s v="SA"/>
    <s v="Pago Incap"/>
    <x v="17"/>
    <d v="2025-05-31T00:00:00"/>
    <s v="PAGO INCAP"/>
    <s v="O003"/>
    <m/>
    <n v="132"/>
    <s v="S"/>
    <n v="1533010002"/>
    <m/>
    <m/>
    <m/>
    <m/>
    <m/>
    <m/>
    <m/>
    <m/>
    <n v="-6869403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6869403"/>
    <n v="5"/>
  </r>
  <r>
    <n v="1"/>
    <s v="SA"/>
    <s v="Pago Incap"/>
    <x v="17"/>
    <d v="2025-05-31T00:00:00"/>
    <s v="PAGO INCAP"/>
    <s v="O003"/>
    <m/>
    <n v="133"/>
    <s v="S"/>
    <n v="1533010002"/>
    <m/>
    <m/>
    <m/>
    <m/>
    <m/>
    <m/>
    <m/>
    <m/>
    <n v="-6211632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6211632"/>
    <n v="5"/>
  </r>
  <r>
    <n v="1"/>
    <s v="SA"/>
    <s v="Pago Incap"/>
    <x v="17"/>
    <d v="2025-05-31T00:00:00"/>
    <s v="PAGO INCAP"/>
    <s v="O003"/>
    <m/>
    <n v="134"/>
    <s v="S"/>
    <n v="1533010002"/>
    <m/>
    <m/>
    <m/>
    <m/>
    <m/>
    <m/>
    <m/>
    <m/>
    <n v="-2847000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2847000"/>
    <n v="5"/>
  </r>
  <r>
    <n v="1"/>
    <s v="SA"/>
    <s v="Pago Incap"/>
    <x v="17"/>
    <d v="2025-05-31T00:00:00"/>
    <s v="PAGO INCAP"/>
    <s v="O003"/>
    <m/>
    <n v="135"/>
    <s v="S"/>
    <n v="1533010002"/>
    <m/>
    <m/>
    <m/>
    <m/>
    <m/>
    <m/>
    <m/>
    <m/>
    <n v="-759200"/>
    <s v="COP"/>
    <m/>
    <m/>
    <m/>
    <m/>
    <m/>
    <m/>
    <m/>
    <s v="O003001452"/>
    <m/>
    <m/>
    <n v="20250531"/>
    <m/>
    <m/>
    <n v="20250531"/>
    <m/>
    <n v="8050011572"/>
    <m/>
    <s v="PAGO INTERBANC EPS  SOS S A"/>
    <m/>
    <x v="0"/>
    <n v="759200"/>
    <n v="5"/>
  </r>
  <r>
    <n v="1"/>
    <s v="SA"/>
    <s v="Pago Incap"/>
    <x v="17"/>
    <d v="2025-05-31T00:00:00"/>
    <s v="PAGO INCAP"/>
    <s v="O003"/>
    <m/>
    <n v="136"/>
    <s v="S"/>
    <n v="1533010002"/>
    <m/>
    <m/>
    <m/>
    <m/>
    <m/>
    <m/>
    <m/>
    <m/>
    <n v="-10587709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10587709"/>
    <n v="5"/>
  </r>
  <r>
    <n v="1"/>
    <s v="SA"/>
    <s v="Pago Incap"/>
    <x v="17"/>
    <d v="2025-05-31T00:00:00"/>
    <s v="PAGO INCAP"/>
    <s v="O003"/>
    <m/>
    <n v="137"/>
    <s v="S"/>
    <n v="1533010002"/>
    <m/>
    <m/>
    <m/>
    <m/>
    <m/>
    <m/>
    <m/>
    <m/>
    <n v="-1613300"/>
    <s v="COP"/>
    <m/>
    <m/>
    <m/>
    <m/>
    <m/>
    <m/>
    <m/>
    <s v="O003001452"/>
    <m/>
    <m/>
    <n v="20250531"/>
    <m/>
    <m/>
    <n v="20250531"/>
    <m/>
    <n v="8300035647"/>
    <m/>
    <s v="PAGO INTERBANC EPS FAMISANAR S"/>
    <m/>
    <x v="0"/>
    <n v="1613300"/>
    <n v="5"/>
  </r>
  <r>
    <n v="1"/>
    <s v="SA"/>
    <s v="Pago Incap"/>
    <x v="17"/>
    <d v="2025-05-31T00:00:00"/>
    <s v="PAGO INCAP"/>
    <s v="O003"/>
    <m/>
    <n v="138"/>
    <s v="S"/>
    <n v="1533010002"/>
    <m/>
    <m/>
    <m/>
    <m/>
    <m/>
    <m/>
    <m/>
    <m/>
    <n v="-18682129"/>
    <s v="COP"/>
    <m/>
    <m/>
    <m/>
    <m/>
    <m/>
    <m/>
    <m/>
    <s v="O003001452"/>
    <m/>
    <m/>
    <n v="20250531"/>
    <m/>
    <m/>
    <n v="20250531"/>
    <m/>
    <n v="8002514406"/>
    <m/>
    <s v="PAGO INTERBANC EPS SANITAS S A"/>
    <m/>
    <x v="0"/>
    <n v="18682129"/>
    <n v="5"/>
  </r>
  <r>
    <n v="1"/>
    <s v="SA"/>
    <s v="Pago Incap"/>
    <x v="17"/>
    <d v="2025-05-31T00:00:00"/>
    <s v="PAGO INCAP"/>
    <s v="O003"/>
    <m/>
    <n v="139"/>
    <s v="S"/>
    <n v="1533010002"/>
    <m/>
    <m/>
    <m/>
    <m/>
    <m/>
    <m/>
    <m/>
    <m/>
    <n v="-130002"/>
    <s v="COP"/>
    <m/>
    <m/>
    <m/>
    <m/>
    <m/>
    <m/>
    <m/>
    <s v="O003001452"/>
    <m/>
    <m/>
    <n v="20250531"/>
    <m/>
    <m/>
    <n v="20250531"/>
    <m/>
    <n v="8170002483"/>
    <m/>
    <s v="PAGO INTERBANC ASMET SALUD EPS"/>
    <m/>
    <x v="0"/>
    <n v="130002"/>
    <n v="5"/>
  </r>
  <r>
    <n v="1"/>
    <s v="SA"/>
    <s v="Pago Incap"/>
    <x v="17"/>
    <d v="2025-05-31T00:00:00"/>
    <s v="PAGO INCAP"/>
    <s v="O003"/>
    <m/>
    <n v="140"/>
    <s v="S"/>
    <n v="1533010002"/>
    <m/>
    <m/>
    <m/>
    <m/>
    <m/>
    <m/>
    <m/>
    <m/>
    <n v="-5978700"/>
    <s v="COP"/>
    <m/>
    <m/>
    <m/>
    <m/>
    <m/>
    <m/>
    <m/>
    <s v="O003001452"/>
    <m/>
    <m/>
    <n v="20250531"/>
    <m/>
    <m/>
    <n v="20250531"/>
    <m/>
    <n v="9009142541"/>
    <m/>
    <s v="PAGO INTERBANC FUNDACION SALUD"/>
    <m/>
    <x v="0"/>
    <n v="5978700"/>
    <n v="5"/>
  </r>
  <r>
    <n v="1"/>
    <s v="SA"/>
    <s v="Pago Incap"/>
    <x v="17"/>
    <d v="2025-05-31T00:00:00"/>
    <s v="PAGO INCAP"/>
    <s v="O003"/>
    <m/>
    <n v="142"/>
    <s v="S"/>
    <n v="1533010002"/>
    <m/>
    <m/>
    <m/>
    <m/>
    <m/>
    <m/>
    <m/>
    <m/>
    <n v="1284900"/>
    <s v="COP"/>
    <m/>
    <m/>
    <m/>
    <m/>
    <m/>
    <m/>
    <m/>
    <s v="O003001452"/>
    <m/>
    <m/>
    <n v="20250531"/>
    <m/>
    <m/>
    <n v="20250531"/>
    <m/>
    <n v="8600669427"/>
    <m/>
    <s v="PAGO INTERBANC CAJA DE COMPENS"/>
    <m/>
    <x v="0"/>
    <n v="1284900"/>
    <n v="5"/>
  </r>
  <r>
    <n v="1"/>
    <s v="SA"/>
    <s v="Pago Incap"/>
    <x v="18"/>
    <d v="2025-06-30T00:00:00"/>
    <s v="PAGO INCAP"/>
    <s v="O003"/>
    <m/>
    <n v="69"/>
    <s v="S"/>
    <n v="1533010002"/>
    <m/>
    <m/>
    <m/>
    <m/>
    <m/>
    <m/>
    <m/>
    <m/>
    <n v="-1614606"/>
    <s v="COP"/>
    <m/>
    <m/>
    <m/>
    <m/>
    <m/>
    <m/>
    <m/>
    <s v="O003001452"/>
    <m/>
    <m/>
    <n v="20250630"/>
    <m/>
    <m/>
    <n v="20250630"/>
    <n v="9001562642"/>
    <m/>
    <m/>
    <s v="PAGO DE PROV NUEVA EMPRESA P"/>
    <m/>
    <x v="5"/>
    <n v="1614606"/>
    <n v="6"/>
  </r>
  <r>
    <n v="1"/>
    <s v="SA"/>
    <s v="Pago Incap"/>
    <x v="18"/>
    <d v="2025-06-30T00:00:00"/>
    <s v="PAGO INCAP"/>
    <s v="O003"/>
    <m/>
    <n v="70"/>
    <s v="S"/>
    <n v="1533010002"/>
    <m/>
    <m/>
    <m/>
    <m/>
    <m/>
    <m/>
    <m/>
    <m/>
    <n v="-123818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123818"/>
    <n v="6"/>
  </r>
  <r>
    <n v="1"/>
    <s v="SA"/>
    <s v="Pago Incap"/>
    <x v="18"/>
    <d v="2025-06-30T00:00:00"/>
    <s v="PAGO INCAP"/>
    <s v="O003"/>
    <m/>
    <n v="71"/>
    <s v="S"/>
    <n v="1533010002"/>
    <m/>
    <m/>
    <m/>
    <m/>
    <m/>
    <m/>
    <m/>
    <m/>
    <n v="-1158399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1158399"/>
    <n v="6"/>
  </r>
  <r>
    <n v="1"/>
    <s v="SA"/>
    <s v="Pago Incap"/>
    <x v="18"/>
    <d v="2025-06-30T00:00:00"/>
    <s v="PAGO INCAP"/>
    <s v="O003"/>
    <m/>
    <n v="72"/>
    <s v="S"/>
    <n v="1533010002"/>
    <m/>
    <m/>
    <m/>
    <m/>
    <m/>
    <m/>
    <m/>
    <m/>
    <n v="-9056481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9056481"/>
    <n v="6"/>
  </r>
  <r>
    <n v="1"/>
    <s v="SA"/>
    <s v="Pago Incap"/>
    <x v="18"/>
    <d v="2025-06-30T00:00:00"/>
    <s v="PAGO INCAP"/>
    <s v="O003"/>
    <m/>
    <n v="73"/>
    <s v="S"/>
    <n v="1533010002"/>
    <m/>
    <m/>
    <m/>
    <m/>
    <m/>
    <m/>
    <m/>
    <m/>
    <n v="-43735947"/>
    <s v="COP"/>
    <m/>
    <m/>
    <m/>
    <m/>
    <m/>
    <m/>
    <m/>
    <s v="O003001452"/>
    <m/>
    <m/>
    <n v="20250630"/>
    <m/>
    <m/>
    <n v="20250630"/>
    <n v="8001309074"/>
    <m/>
    <m/>
    <s v="PAGO INTERBANC SALUD-TOTAL-EPS"/>
    <m/>
    <x v="0"/>
    <n v="43735947"/>
    <n v="6"/>
  </r>
  <r>
    <n v="1"/>
    <s v="SA"/>
    <s v="Pago Incap"/>
    <x v="18"/>
    <d v="2025-06-30T00:00:00"/>
    <s v="PAGO INCAP"/>
    <s v="O003"/>
    <m/>
    <n v="74"/>
    <s v="S"/>
    <n v="1533010002"/>
    <m/>
    <m/>
    <m/>
    <m/>
    <m/>
    <m/>
    <m/>
    <m/>
    <n v="-332150"/>
    <s v="COP"/>
    <m/>
    <m/>
    <m/>
    <m/>
    <m/>
    <m/>
    <m/>
    <s v="O003001452"/>
    <m/>
    <m/>
    <n v="20250630"/>
    <m/>
    <m/>
    <n v="20250630"/>
    <n v="8060083947"/>
    <m/>
    <m/>
    <s v="PAGO DE PROV ASOCIACION MUTU"/>
    <m/>
    <x v="0"/>
    <n v="332150"/>
    <n v="6"/>
  </r>
  <r>
    <n v="1"/>
    <s v="SA"/>
    <s v="Pago Incap"/>
    <x v="18"/>
    <d v="2025-06-30T00:00:00"/>
    <s v="PAGO INCAP"/>
    <s v="O003"/>
    <m/>
    <n v="75"/>
    <s v="S"/>
    <n v="1533010002"/>
    <m/>
    <m/>
    <m/>
    <m/>
    <m/>
    <m/>
    <m/>
    <m/>
    <n v="-725322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725322"/>
    <n v="6"/>
  </r>
  <r>
    <n v="1"/>
    <s v="SA"/>
    <s v="Pago Incap"/>
    <x v="18"/>
    <d v="2025-06-30T00:00:00"/>
    <s v="PAGO INCAP"/>
    <s v="O003"/>
    <m/>
    <n v="76"/>
    <s v="S"/>
    <n v="1533010002"/>
    <m/>
    <m/>
    <m/>
    <m/>
    <m/>
    <m/>
    <m/>
    <m/>
    <n v="-48447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48447"/>
    <n v="6"/>
  </r>
  <r>
    <n v="1"/>
    <s v="SA"/>
    <s v="Pago Incap"/>
    <x v="18"/>
    <d v="2025-06-30T00:00:00"/>
    <s v="PAGO INCAP"/>
    <s v="O003"/>
    <m/>
    <n v="77"/>
    <s v="S"/>
    <n v="1533010002"/>
    <m/>
    <m/>
    <m/>
    <m/>
    <m/>
    <m/>
    <m/>
    <m/>
    <n v="-142350"/>
    <s v="COP"/>
    <m/>
    <m/>
    <m/>
    <m/>
    <m/>
    <m/>
    <m/>
    <s v="O003001452"/>
    <m/>
    <m/>
    <n v="20250630"/>
    <m/>
    <m/>
    <n v="20250630"/>
    <n v="8060083947"/>
    <m/>
    <m/>
    <s v="PAGO DE PROV ASOCIACION MUTU"/>
    <m/>
    <x v="0"/>
    <n v="142350"/>
    <n v="6"/>
  </r>
  <r>
    <n v="1"/>
    <s v="SA"/>
    <s v="Pago Incap"/>
    <x v="18"/>
    <d v="2025-06-30T00:00:00"/>
    <s v="PAGO INCAP"/>
    <s v="O003"/>
    <m/>
    <n v="78"/>
    <s v="S"/>
    <n v="1533010002"/>
    <m/>
    <m/>
    <m/>
    <m/>
    <m/>
    <m/>
    <m/>
    <m/>
    <n v="-47450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47450"/>
    <n v="6"/>
  </r>
  <r>
    <n v="1"/>
    <s v="SA"/>
    <s v="Pago Incap"/>
    <x v="18"/>
    <d v="2025-06-30T00:00:00"/>
    <s v="PAGO INCAP"/>
    <s v="O003"/>
    <m/>
    <n v="79"/>
    <s v="S"/>
    <n v="1533010002"/>
    <m/>
    <m/>
    <m/>
    <m/>
    <m/>
    <m/>
    <m/>
    <m/>
    <n v="-1800920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1800920"/>
    <n v="6"/>
  </r>
  <r>
    <n v="1"/>
    <s v="SA"/>
    <s v="Pago Incap"/>
    <x v="18"/>
    <d v="2025-06-30T00:00:00"/>
    <s v="PAGO INCAP"/>
    <s v="O003"/>
    <m/>
    <n v="80"/>
    <s v="S"/>
    <n v="1533010002"/>
    <m/>
    <m/>
    <m/>
    <m/>
    <m/>
    <m/>
    <m/>
    <m/>
    <n v="-142350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142350"/>
    <n v="6"/>
  </r>
  <r>
    <n v="1"/>
    <s v="SA"/>
    <s v="Pago Incap"/>
    <x v="18"/>
    <d v="2025-06-30T00:00:00"/>
    <s v="PAGO INCAP"/>
    <s v="O003"/>
    <m/>
    <n v="81"/>
    <s v="S"/>
    <n v="1533010002"/>
    <m/>
    <m/>
    <m/>
    <m/>
    <m/>
    <m/>
    <m/>
    <m/>
    <n v="-6020200"/>
    <s v="COP"/>
    <m/>
    <m/>
    <m/>
    <m/>
    <m/>
    <m/>
    <m/>
    <s v="O003001452"/>
    <m/>
    <m/>
    <n v="20250630"/>
    <m/>
    <m/>
    <n v="20250630"/>
    <n v="8600021839"/>
    <m/>
    <m/>
    <s v="PAGO INTERBANC AXA COLPATRIA S"/>
    <m/>
    <x v="0"/>
    <n v="6020200"/>
    <n v="6"/>
  </r>
  <r>
    <n v="1"/>
    <s v="SA"/>
    <s v="Pago Incap"/>
    <x v="18"/>
    <d v="2025-06-30T00:00:00"/>
    <s v="PAGO INCAP"/>
    <s v="O003"/>
    <m/>
    <n v="82"/>
    <s v="S"/>
    <n v="1533010002"/>
    <m/>
    <m/>
    <m/>
    <m/>
    <m/>
    <m/>
    <m/>
    <m/>
    <n v="-18200422"/>
    <s v="COP"/>
    <m/>
    <m/>
    <m/>
    <m/>
    <m/>
    <m/>
    <m/>
    <s v="O003001452"/>
    <m/>
    <m/>
    <n v="20250630"/>
    <m/>
    <m/>
    <n v="20250630"/>
    <n v="8000887022"/>
    <m/>
    <m/>
    <s v="PAGO DE PROV EPS SURAMERICAN"/>
    <m/>
    <x v="6"/>
    <n v="18200422"/>
    <n v="6"/>
  </r>
  <r>
    <n v="1"/>
    <s v="SA"/>
    <s v="Pago Incap"/>
    <x v="18"/>
    <d v="2025-06-30T00:00:00"/>
    <s v="PAGO INCAP"/>
    <s v="O003"/>
    <m/>
    <n v="83"/>
    <s v="S"/>
    <n v="1533010002"/>
    <m/>
    <m/>
    <m/>
    <m/>
    <m/>
    <m/>
    <m/>
    <m/>
    <n v="-9935330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9935330"/>
    <n v="6"/>
  </r>
  <r>
    <n v="1"/>
    <s v="SA"/>
    <s v="Pago Incap"/>
    <x v="18"/>
    <d v="2025-06-30T00:00:00"/>
    <s v="PAGO INCAP"/>
    <s v="O003"/>
    <m/>
    <n v="84"/>
    <s v="S"/>
    <n v="1533010002"/>
    <m/>
    <m/>
    <m/>
    <m/>
    <m/>
    <m/>
    <m/>
    <m/>
    <n v="-9224911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9224911"/>
    <n v="6"/>
  </r>
  <r>
    <n v="1"/>
    <s v="SA"/>
    <s v="Pago Incap"/>
    <x v="18"/>
    <d v="2025-06-30T00:00:00"/>
    <s v="PAGO INCAP"/>
    <s v="O003"/>
    <m/>
    <n v="85"/>
    <s v="S"/>
    <n v="1533010002"/>
    <m/>
    <m/>
    <m/>
    <m/>
    <m/>
    <m/>
    <m/>
    <m/>
    <n v="-3537009"/>
    <s v="COP"/>
    <m/>
    <m/>
    <m/>
    <m/>
    <m/>
    <m/>
    <m/>
    <s v="O003001452"/>
    <m/>
    <m/>
    <n v="20250630"/>
    <m/>
    <m/>
    <n v="20250630"/>
    <n v="9001562642"/>
    <m/>
    <m/>
    <s v="PAGO DE PROV NUEVA EMPRESA P"/>
    <m/>
    <x v="5"/>
    <n v="3537009"/>
    <n v="6"/>
  </r>
  <r>
    <n v="1"/>
    <s v="SA"/>
    <s v="Pago Incap"/>
    <x v="18"/>
    <d v="2025-06-30T00:00:00"/>
    <s v="PAGO INCAP"/>
    <s v="O003"/>
    <m/>
    <n v="86"/>
    <s v="S"/>
    <n v="1533010002"/>
    <m/>
    <m/>
    <m/>
    <m/>
    <m/>
    <m/>
    <m/>
    <m/>
    <n v="-735695"/>
    <s v="COP"/>
    <m/>
    <m/>
    <m/>
    <m/>
    <m/>
    <m/>
    <m/>
    <s v="O003001452"/>
    <m/>
    <m/>
    <n v="20250630"/>
    <m/>
    <m/>
    <n v="20250630"/>
    <n v="8301138310"/>
    <m/>
    <m/>
    <s v="PAGO DE PROV ALIANSALUD EPS"/>
    <m/>
    <x v="0"/>
    <n v="735695"/>
    <n v="6"/>
  </r>
  <r>
    <n v="1"/>
    <s v="SA"/>
    <s v="Pago Incap"/>
    <x v="18"/>
    <d v="2025-06-30T00:00:00"/>
    <s v="PAGO INCAP"/>
    <s v="O003"/>
    <m/>
    <n v="87"/>
    <s v="S"/>
    <n v="1533010002"/>
    <m/>
    <m/>
    <m/>
    <m/>
    <m/>
    <m/>
    <m/>
    <m/>
    <n v="-2210932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2210932"/>
    <n v="6"/>
  </r>
  <r>
    <n v="1"/>
    <s v="SA"/>
    <s v="Pago Incap"/>
    <x v="18"/>
    <d v="2025-06-30T00:00:00"/>
    <s v="PAGO INCAP"/>
    <s v="O003"/>
    <m/>
    <n v="88"/>
    <s v="S"/>
    <n v="1533010002"/>
    <m/>
    <m/>
    <m/>
    <m/>
    <m/>
    <m/>
    <m/>
    <m/>
    <n v="-2651156"/>
    <s v="COP"/>
    <m/>
    <m/>
    <m/>
    <m/>
    <m/>
    <m/>
    <m/>
    <s v="O003001452"/>
    <m/>
    <m/>
    <n v="20250630"/>
    <m/>
    <m/>
    <n v="20250630"/>
    <n v="8301138310"/>
    <m/>
    <m/>
    <s v="PAGO DE PROV ALIANSALUD EPS"/>
    <m/>
    <x v="0"/>
    <n v="2651156"/>
    <n v="6"/>
  </r>
  <r>
    <n v="1"/>
    <s v="SA"/>
    <s v="Pago Incap"/>
    <x v="18"/>
    <d v="2025-06-30T00:00:00"/>
    <s v="PAGO INCAP"/>
    <s v="O003"/>
    <m/>
    <n v="89"/>
    <s v="S"/>
    <n v="1533010002"/>
    <m/>
    <m/>
    <m/>
    <m/>
    <m/>
    <m/>
    <m/>
    <m/>
    <n v="-996450"/>
    <s v="COP"/>
    <m/>
    <m/>
    <m/>
    <m/>
    <m/>
    <m/>
    <m/>
    <s v="O003001452"/>
    <m/>
    <m/>
    <n v="20250630"/>
    <m/>
    <m/>
    <n v="20250630"/>
    <n v="8170017733"/>
    <m/>
    <m/>
    <s v="PAGO INTERBANC ASOCIACION INDI"/>
    <m/>
    <x v="0"/>
    <n v="996450"/>
    <n v="6"/>
  </r>
  <r>
    <n v="1"/>
    <s v="SA"/>
    <s v="Pago Incap"/>
    <x v="18"/>
    <d v="2025-06-30T00:00:00"/>
    <s v="PAGO INCAP"/>
    <s v="O003"/>
    <m/>
    <n v="90"/>
    <s v="S"/>
    <n v="1533010002"/>
    <m/>
    <m/>
    <m/>
    <m/>
    <m/>
    <m/>
    <m/>
    <m/>
    <n v="-521950"/>
    <s v="COP"/>
    <m/>
    <m/>
    <m/>
    <m/>
    <m/>
    <m/>
    <m/>
    <s v="O003001452"/>
    <m/>
    <m/>
    <n v="20250630"/>
    <m/>
    <m/>
    <n v="20250630"/>
    <n v="8050011572"/>
    <m/>
    <m/>
    <s v="PAGO INTERBANC EPS  SOS S A"/>
    <m/>
    <x v="0"/>
    <n v="521950"/>
    <n v="6"/>
  </r>
  <r>
    <n v="1"/>
    <s v="SA"/>
    <s v="Pago Incap"/>
    <x v="18"/>
    <d v="2025-06-30T00:00:00"/>
    <s v="PAGO INCAP"/>
    <s v="O003"/>
    <m/>
    <n v="91"/>
    <s v="S"/>
    <n v="1533010002"/>
    <m/>
    <m/>
    <m/>
    <m/>
    <m/>
    <m/>
    <m/>
    <m/>
    <n v="-711750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711750"/>
    <n v="6"/>
  </r>
  <r>
    <n v="1"/>
    <s v="SA"/>
    <s v="Pago Incap"/>
    <x v="18"/>
    <d v="2025-06-30T00:00:00"/>
    <s v="PAGO INCAP"/>
    <s v="O003"/>
    <m/>
    <n v="92"/>
    <s v="S"/>
    <n v="1533010002"/>
    <m/>
    <m/>
    <m/>
    <m/>
    <m/>
    <m/>
    <m/>
    <m/>
    <n v="-263560"/>
    <s v="COP"/>
    <m/>
    <m/>
    <m/>
    <m/>
    <m/>
    <m/>
    <m/>
    <s v="O003001452"/>
    <m/>
    <m/>
    <n v="20250630"/>
    <m/>
    <m/>
    <n v="20250630"/>
    <n v="8600669427"/>
    <m/>
    <m/>
    <s v="PAGO INTERBANC CAJA DE COMPENS"/>
    <m/>
    <x v="4"/>
    <n v="263560"/>
    <n v="6"/>
  </r>
  <r>
    <n v="1"/>
    <s v="SA"/>
    <s v="Pago Incap"/>
    <x v="18"/>
    <d v="2025-06-30T00:00:00"/>
    <s v="PAGO INCAP"/>
    <s v="O003"/>
    <m/>
    <n v="93"/>
    <s v="S"/>
    <n v="1533010002"/>
    <m/>
    <m/>
    <m/>
    <m/>
    <m/>
    <m/>
    <m/>
    <m/>
    <n v="-284700"/>
    <s v="COP"/>
    <m/>
    <m/>
    <m/>
    <m/>
    <m/>
    <m/>
    <m/>
    <s v="O003001452"/>
    <m/>
    <m/>
    <n v="20250630"/>
    <m/>
    <m/>
    <n v="20250630"/>
    <n v="8140003371"/>
    <m/>
    <m/>
    <s v="PAGO INTERBANC EMSSANAR ENTIDA"/>
    <m/>
    <x v="2"/>
    <n v="284700"/>
    <n v="6"/>
  </r>
  <r>
    <n v="1"/>
    <s v="SA"/>
    <s v="Pago Incap"/>
    <x v="18"/>
    <d v="2025-06-30T00:00:00"/>
    <s v="PAGO INCAP"/>
    <s v="O003"/>
    <m/>
    <n v="94"/>
    <s v="S"/>
    <n v="1533010002"/>
    <m/>
    <m/>
    <m/>
    <m/>
    <m/>
    <m/>
    <m/>
    <m/>
    <n v="-47450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47450"/>
    <n v="6"/>
  </r>
  <r>
    <n v="1"/>
    <s v="SA"/>
    <s v="Pago Incap"/>
    <x v="18"/>
    <d v="2025-06-30T00:00:00"/>
    <s v="PAGO INCAP"/>
    <s v="O003"/>
    <m/>
    <n v="95"/>
    <s v="S"/>
    <n v="1533010002"/>
    <m/>
    <m/>
    <m/>
    <m/>
    <m/>
    <m/>
    <m/>
    <m/>
    <n v="-3889584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3889584"/>
    <n v="6"/>
  </r>
  <r>
    <n v="1"/>
    <s v="SA"/>
    <s v="Pago Incap"/>
    <x v="18"/>
    <d v="2025-06-30T00:00:00"/>
    <s v="PAGO INCAP"/>
    <s v="O003"/>
    <m/>
    <n v="96"/>
    <s v="S"/>
    <n v="1533010002"/>
    <m/>
    <m/>
    <m/>
    <m/>
    <m/>
    <m/>
    <m/>
    <m/>
    <n v="-1919132"/>
    <s v="COP"/>
    <m/>
    <m/>
    <m/>
    <m/>
    <m/>
    <m/>
    <m/>
    <s v="O003001452"/>
    <m/>
    <m/>
    <n v="20250630"/>
    <m/>
    <m/>
    <n v="20250630"/>
    <n v="8600021839"/>
    <m/>
    <m/>
    <s v="PAGO INTERBANC AXA COLPATRIA S"/>
    <m/>
    <x v="0"/>
    <n v="1919132"/>
    <n v="6"/>
  </r>
  <r>
    <n v="1"/>
    <s v="SA"/>
    <s v="Pago Incap"/>
    <x v="18"/>
    <d v="2025-06-30T00:00:00"/>
    <s v="PAGO INCAP"/>
    <s v="O003"/>
    <m/>
    <n v="97"/>
    <s v="S"/>
    <n v="1533010002"/>
    <m/>
    <m/>
    <m/>
    <m/>
    <m/>
    <m/>
    <m/>
    <m/>
    <n v="-521950"/>
    <s v="COP"/>
    <m/>
    <m/>
    <m/>
    <m/>
    <m/>
    <m/>
    <m/>
    <s v="O003001452"/>
    <m/>
    <m/>
    <n v="20250630"/>
    <m/>
    <m/>
    <n v="20250630"/>
    <n v="8060083947"/>
    <m/>
    <m/>
    <s v="PAGO DE PROV ASOCIACION MUTU"/>
    <m/>
    <x v="0"/>
    <n v="521950"/>
    <n v="6"/>
  </r>
  <r>
    <n v="1"/>
    <s v="SA"/>
    <s v="Pago Incap"/>
    <x v="18"/>
    <d v="2025-06-30T00:00:00"/>
    <s v="PAGO INCAP"/>
    <s v="O003"/>
    <m/>
    <n v="98"/>
    <s v="S"/>
    <n v="1533010002"/>
    <m/>
    <m/>
    <m/>
    <m/>
    <m/>
    <m/>
    <m/>
    <m/>
    <n v="-1398212"/>
    <s v="COP"/>
    <m/>
    <m/>
    <m/>
    <m/>
    <m/>
    <m/>
    <m/>
    <s v="O003001452"/>
    <m/>
    <m/>
    <n v="20250630"/>
    <m/>
    <m/>
    <n v="20250630"/>
    <n v="8600669427"/>
    <m/>
    <m/>
    <s v="PAGO INTERBANC CAJA DE COMPENS"/>
    <m/>
    <x v="4"/>
    <n v="1398212"/>
    <n v="6"/>
  </r>
  <r>
    <n v="1"/>
    <s v="SA"/>
    <s v="Pago Incap"/>
    <x v="18"/>
    <d v="2025-06-30T00:00:00"/>
    <s v="PAGO INCAP"/>
    <s v="O003"/>
    <m/>
    <n v="99"/>
    <s v="S"/>
    <n v="1533010002"/>
    <m/>
    <m/>
    <m/>
    <m/>
    <m/>
    <m/>
    <m/>
    <m/>
    <n v="-2179335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2179335"/>
    <n v="6"/>
  </r>
  <r>
    <n v="1"/>
    <s v="SA"/>
    <s v="Pago Incap"/>
    <x v="18"/>
    <d v="2025-06-30T00:00:00"/>
    <s v="PAGO INCAP"/>
    <s v="O003"/>
    <m/>
    <n v="100"/>
    <s v="S"/>
    <n v="1533010002"/>
    <m/>
    <m/>
    <m/>
    <m/>
    <m/>
    <m/>
    <m/>
    <m/>
    <n v="-8832838"/>
    <s v="COP"/>
    <m/>
    <m/>
    <m/>
    <m/>
    <m/>
    <m/>
    <m/>
    <s v="O003001452"/>
    <m/>
    <m/>
    <n v="20250630"/>
    <m/>
    <m/>
    <n v="20250630"/>
    <n v="9001562642"/>
    <m/>
    <m/>
    <s v="PAGO DE PROV NUEVA EMPRESA P"/>
    <m/>
    <x v="5"/>
    <n v="8832838"/>
    <n v="6"/>
  </r>
  <r>
    <n v="1"/>
    <s v="SA"/>
    <s v="Pago Incap"/>
    <x v="18"/>
    <d v="2025-06-30T00:00:00"/>
    <s v="PAGO INCAP"/>
    <s v="O003"/>
    <m/>
    <n v="101"/>
    <s v="S"/>
    <n v="1533010002"/>
    <m/>
    <m/>
    <m/>
    <m/>
    <m/>
    <m/>
    <m/>
    <m/>
    <n v="-570165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570165"/>
    <n v="6"/>
  </r>
  <r>
    <n v="1"/>
    <s v="SA"/>
    <s v="Pago Incap"/>
    <x v="18"/>
    <d v="2025-06-30T00:00:00"/>
    <s v="PAGO INCAP"/>
    <s v="O003"/>
    <m/>
    <n v="102"/>
    <s v="S"/>
    <n v="1533010002"/>
    <m/>
    <m/>
    <m/>
    <m/>
    <m/>
    <m/>
    <m/>
    <m/>
    <n v="-7934532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7934532"/>
    <n v="6"/>
  </r>
  <r>
    <n v="1"/>
    <s v="SA"/>
    <s v="Pago Incap"/>
    <x v="18"/>
    <d v="2025-06-30T00:00:00"/>
    <s v="PAGO INCAP"/>
    <s v="O003"/>
    <m/>
    <n v="103"/>
    <s v="S"/>
    <n v="1533010002"/>
    <m/>
    <m/>
    <m/>
    <m/>
    <m/>
    <m/>
    <m/>
    <m/>
    <n v="-210533"/>
    <s v="COP"/>
    <m/>
    <m/>
    <m/>
    <m/>
    <m/>
    <m/>
    <m/>
    <s v="O003001452"/>
    <m/>
    <m/>
    <n v="20250630"/>
    <m/>
    <m/>
    <n v="20250630"/>
    <n v="8600669427"/>
    <m/>
    <m/>
    <s v="PAGO INTERBANC CAJA DE COMPENS"/>
    <m/>
    <x v="4"/>
    <n v="210533"/>
    <n v="6"/>
  </r>
  <r>
    <n v="1"/>
    <s v="SA"/>
    <s v="Pago Incap"/>
    <x v="18"/>
    <d v="2025-06-30T00:00:00"/>
    <s v="PAGO INCAP"/>
    <s v="O003"/>
    <m/>
    <n v="104"/>
    <s v="S"/>
    <n v="1533010002"/>
    <m/>
    <m/>
    <m/>
    <m/>
    <m/>
    <m/>
    <m/>
    <m/>
    <n v="-114355"/>
    <s v="COP"/>
    <m/>
    <m/>
    <m/>
    <m/>
    <m/>
    <m/>
    <m/>
    <s v="O003001452"/>
    <m/>
    <m/>
    <n v="20250630"/>
    <m/>
    <m/>
    <n v="20250630"/>
    <n v="8600021839"/>
    <m/>
    <m/>
    <s v="PAGO INTERBANC AXA COLPATRIA S"/>
    <m/>
    <x v="0"/>
    <n v="114355"/>
    <n v="6"/>
  </r>
  <r>
    <n v="1"/>
    <s v="SA"/>
    <s v="Pago Incap"/>
    <x v="18"/>
    <d v="2025-06-30T00:00:00"/>
    <s v="PAGO INCAP"/>
    <s v="O003"/>
    <m/>
    <n v="105"/>
    <s v="S"/>
    <n v="1533010002"/>
    <m/>
    <m/>
    <m/>
    <m/>
    <m/>
    <m/>
    <m/>
    <m/>
    <n v="-846329"/>
    <s v="COP"/>
    <m/>
    <m/>
    <m/>
    <m/>
    <m/>
    <m/>
    <m/>
    <s v="O003001452"/>
    <m/>
    <m/>
    <n v="20250630"/>
    <m/>
    <m/>
    <n v="20250630"/>
    <n v="8301138310"/>
    <m/>
    <m/>
    <s v="PAGO DE PROV ALIANSALUD EPS"/>
    <m/>
    <x v="0"/>
    <n v="846329"/>
    <n v="6"/>
  </r>
  <r>
    <n v="1"/>
    <s v="SA"/>
    <s v="Pago Incap"/>
    <x v="18"/>
    <d v="2025-06-30T00:00:00"/>
    <s v="PAGO INCAP"/>
    <s v="O003"/>
    <m/>
    <n v="106"/>
    <s v="S"/>
    <n v="1533010002"/>
    <m/>
    <m/>
    <m/>
    <m/>
    <m/>
    <m/>
    <m/>
    <m/>
    <n v="-1176219"/>
    <s v="COP"/>
    <m/>
    <m/>
    <m/>
    <m/>
    <m/>
    <m/>
    <m/>
    <s v="O003001452"/>
    <m/>
    <m/>
    <n v="20250630"/>
    <m/>
    <m/>
    <n v="20250630"/>
    <n v="8600669427"/>
    <m/>
    <m/>
    <s v="PAGO INTERBANC CAJA DE COMPENS"/>
    <m/>
    <x v="4"/>
    <n v="1176219"/>
    <n v="6"/>
  </r>
  <r>
    <n v="1"/>
    <s v="SA"/>
    <s v="Pago Incap"/>
    <x v="18"/>
    <d v="2025-06-30T00:00:00"/>
    <s v="PAGO INCAP"/>
    <s v="O003"/>
    <m/>
    <n v="107"/>
    <s v="S"/>
    <n v="1533010002"/>
    <m/>
    <m/>
    <m/>
    <m/>
    <m/>
    <m/>
    <m/>
    <m/>
    <n v="-237250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237250"/>
    <n v="6"/>
  </r>
  <r>
    <n v="1"/>
    <s v="SA"/>
    <s v="Pago Incap"/>
    <x v="18"/>
    <d v="2025-06-30T00:00:00"/>
    <s v="PAGO INCAP"/>
    <s v="O003"/>
    <m/>
    <n v="108"/>
    <s v="S"/>
    <n v="1533010002"/>
    <m/>
    <m/>
    <m/>
    <m/>
    <m/>
    <m/>
    <m/>
    <m/>
    <n v="-616850"/>
    <s v="COP"/>
    <m/>
    <m/>
    <m/>
    <m/>
    <m/>
    <m/>
    <m/>
    <s v="O003001452"/>
    <m/>
    <m/>
    <n v="20250630"/>
    <m/>
    <m/>
    <n v="20250630"/>
    <n v="8060083947"/>
    <m/>
    <m/>
    <s v="PAGO INTERBANC MUTUAL SER EPS"/>
    <m/>
    <x v="0"/>
    <n v="616850"/>
    <n v="6"/>
  </r>
  <r>
    <n v="1"/>
    <s v="SA"/>
    <s v="Pago Incap"/>
    <x v="18"/>
    <d v="2025-06-30T00:00:00"/>
    <s v="PAGO INCAP"/>
    <s v="O003"/>
    <m/>
    <n v="109"/>
    <s v="S"/>
    <n v="1533010002"/>
    <m/>
    <m/>
    <m/>
    <m/>
    <m/>
    <m/>
    <m/>
    <m/>
    <n v="-184168"/>
    <s v="COP"/>
    <m/>
    <m/>
    <m/>
    <m/>
    <m/>
    <m/>
    <m/>
    <s v="O003001452"/>
    <m/>
    <m/>
    <n v="20250630"/>
    <m/>
    <m/>
    <n v="20250630"/>
    <n v="8000887022"/>
    <m/>
    <m/>
    <s v="PAGO DE PROV EPS SURAMERICAN"/>
    <m/>
    <x v="6"/>
    <n v="184168"/>
    <n v="6"/>
  </r>
  <r>
    <n v="1"/>
    <s v="SA"/>
    <s v="Pago Incap"/>
    <x v="18"/>
    <d v="2025-06-30T00:00:00"/>
    <s v="PAGO INCAP"/>
    <s v="O003"/>
    <m/>
    <n v="110"/>
    <s v="S"/>
    <n v="1533010002"/>
    <m/>
    <m/>
    <m/>
    <m/>
    <m/>
    <m/>
    <m/>
    <m/>
    <n v="-47450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47450"/>
    <n v="6"/>
  </r>
  <r>
    <n v="1"/>
    <s v="SA"/>
    <s v="Pago Incap"/>
    <x v="18"/>
    <d v="2025-06-30T00:00:00"/>
    <s v="PAGO INCAP"/>
    <s v="O003"/>
    <m/>
    <n v="111"/>
    <s v="S"/>
    <n v="1533010002"/>
    <m/>
    <m/>
    <m/>
    <m/>
    <m/>
    <m/>
    <m/>
    <m/>
    <n v="-3833886"/>
    <s v="COP"/>
    <m/>
    <m/>
    <m/>
    <m/>
    <m/>
    <m/>
    <m/>
    <s v="O003001452"/>
    <m/>
    <m/>
    <n v="20250630"/>
    <m/>
    <m/>
    <n v="20250630"/>
    <n v="8600021839"/>
    <m/>
    <m/>
    <s v="PAGO INTERBANC AXA COLPATRIA S"/>
    <m/>
    <x v="0"/>
    <n v="3833886"/>
    <n v="6"/>
  </r>
  <r>
    <n v="1"/>
    <s v="SA"/>
    <s v="Pago Incap"/>
    <x v="18"/>
    <d v="2025-06-30T00:00:00"/>
    <s v="PAGO INCAP"/>
    <s v="O003"/>
    <m/>
    <n v="112"/>
    <s v="S"/>
    <n v="1533010002"/>
    <m/>
    <m/>
    <m/>
    <m/>
    <m/>
    <m/>
    <m/>
    <m/>
    <n v="-11307106"/>
    <s v="COP"/>
    <m/>
    <m/>
    <m/>
    <m/>
    <m/>
    <m/>
    <m/>
    <s v="O003001452"/>
    <m/>
    <m/>
    <n v="20250630"/>
    <m/>
    <m/>
    <n v="20250630"/>
    <n v="8001309074"/>
    <m/>
    <m/>
    <s v="PAGO INTERBANC SALUD-TOTAL-EPS"/>
    <m/>
    <x v="0"/>
    <n v="11307106"/>
    <n v="6"/>
  </r>
  <r>
    <n v="1"/>
    <s v="SA"/>
    <s v="Pago Incap"/>
    <x v="18"/>
    <d v="2025-06-30T00:00:00"/>
    <s v="PAGO INCAP"/>
    <s v="O003"/>
    <m/>
    <n v="113"/>
    <s v="S"/>
    <n v="1533010002"/>
    <m/>
    <m/>
    <m/>
    <m/>
    <m/>
    <m/>
    <m/>
    <m/>
    <n v="-237250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237250"/>
    <n v="6"/>
  </r>
  <r>
    <n v="1"/>
    <s v="SA"/>
    <s v="Pago Incap"/>
    <x v="18"/>
    <d v="2025-06-30T00:00:00"/>
    <s v="PAGO INCAP"/>
    <s v="O003"/>
    <m/>
    <n v="114"/>
    <s v="S"/>
    <n v="1533010002"/>
    <m/>
    <m/>
    <m/>
    <m/>
    <m/>
    <m/>
    <m/>
    <m/>
    <n v="-7756686"/>
    <s v="COP"/>
    <m/>
    <m/>
    <m/>
    <m/>
    <m/>
    <m/>
    <m/>
    <s v="O003001452"/>
    <m/>
    <m/>
    <n v="20250630"/>
    <m/>
    <m/>
    <n v="20250630"/>
    <n v="8001309074"/>
    <m/>
    <m/>
    <s v="PAGO INTERBANC SALUD-TOTAL-EPS"/>
    <m/>
    <x v="0"/>
    <n v="7756686"/>
    <n v="6"/>
  </r>
  <r>
    <n v="1"/>
    <s v="SA"/>
    <s v="Pago Incap"/>
    <x v="18"/>
    <d v="2025-06-30T00:00:00"/>
    <s v="PAGO INCAP"/>
    <s v="O003"/>
    <m/>
    <n v="115"/>
    <s v="S"/>
    <n v="1533010002"/>
    <m/>
    <m/>
    <m/>
    <m/>
    <m/>
    <m/>
    <m/>
    <m/>
    <n v="-47450"/>
    <s v="COP"/>
    <m/>
    <m/>
    <m/>
    <m/>
    <m/>
    <m/>
    <m/>
    <s v="O003001452"/>
    <m/>
    <m/>
    <n v="20250630"/>
    <m/>
    <m/>
    <n v="20250630"/>
    <n v="9002983729"/>
    <m/>
    <m/>
    <s v="PAGO DE PROV CAPITAL SALUD E"/>
    <m/>
    <x v="0"/>
    <n v="47450"/>
    <n v="6"/>
  </r>
  <r>
    <n v="1"/>
    <s v="SA"/>
    <s v="Pago Incap"/>
    <x v="18"/>
    <d v="2025-06-30T00:00:00"/>
    <s v="PAGO INCAP"/>
    <s v="O003"/>
    <m/>
    <n v="116"/>
    <s v="S"/>
    <n v="1533010002"/>
    <m/>
    <m/>
    <m/>
    <m/>
    <m/>
    <m/>
    <m/>
    <m/>
    <n v="-142350"/>
    <s v="COP"/>
    <m/>
    <m/>
    <m/>
    <m/>
    <m/>
    <m/>
    <m/>
    <s v="O003001452"/>
    <m/>
    <m/>
    <n v="20250630"/>
    <m/>
    <m/>
    <n v="20250630"/>
    <n v="9002983729"/>
    <m/>
    <m/>
    <s v="PAGO DE PROV CAPITAL SALUD E"/>
    <m/>
    <x v="0"/>
    <n v="142350"/>
    <n v="6"/>
  </r>
  <r>
    <n v="1"/>
    <s v="SA"/>
    <s v="Pago Incap"/>
    <x v="18"/>
    <d v="2025-06-30T00:00:00"/>
    <s v="PAGO INCAP"/>
    <s v="O003"/>
    <m/>
    <n v="117"/>
    <s v="S"/>
    <n v="1533010002"/>
    <m/>
    <m/>
    <m/>
    <m/>
    <m/>
    <m/>
    <m/>
    <m/>
    <n v="-854100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854100"/>
    <n v="6"/>
  </r>
  <r>
    <n v="1"/>
    <s v="SA"/>
    <s v="Pago Incap"/>
    <x v="18"/>
    <d v="2025-06-30T00:00:00"/>
    <s v="PAGO INCAP"/>
    <s v="O003"/>
    <m/>
    <n v="118"/>
    <s v="S"/>
    <n v="1533010002"/>
    <m/>
    <m/>
    <m/>
    <m/>
    <m/>
    <m/>
    <m/>
    <m/>
    <n v="-134117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134117"/>
    <n v="6"/>
  </r>
  <r>
    <n v="1"/>
    <s v="SA"/>
    <s v="Pago Incap"/>
    <x v="18"/>
    <d v="2025-06-30T00:00:00"/>
    <s v="PAGO INCAP"/>
    <s v="O003"/>
    <m/>
    <n v="119"/>
    <s v="S"/>
    <n v="1533010002"/>
    <m/>
    <m/>
    <m/>
    <m/>
    <m/>
    <m/>
    <m/>
    <m/>
    <n v="-7913961"/>
    <s v="COP"/>
    <m/>
    <m/>
    <m/>
    <m/>
    <m/>
    <m/>
    <m/>
    <s v="O003001452"/>
    <m/>
    <m/>
    <n v="20250630"/>
    <m/>
    <m/>
    <n v="20250630"/>
    <n v="9001562642"/>
    <m/>
    <m/>
    <s v="PAGO DE PROV NUEVA EMPRESA P"/>
    <m/>
    <x v="5"/>
    <n v="7913961"/>
    <n v="6"/>
  </r>
  <r>
    <n v="1"/>
    <s v="SA"/>
    <s v="Pago Incap"/>
    <x v="18"/>
    <d v="2025-06-30T00:00:00"/>
    <s v="PAGO INCAP"/>
    <s v="O003"/>
    <m/>
    <n v="120"/>
    <s v="S"/>
    <n v="1533010002"/>
    <m/>
    <m/>
    <m/>
    <m/>
    <m/>
    <m/>
    <m/>
    <m/>
    <n v="-2847000"/>
    <s v="COP"/>
    <m/>
    <m/>
    <m/>
    <m/>
    <m/>
    <m/>
    <m/>
    <s v="O003001452"/>
    <m/>
    <m/>
    <n v="20250630"/>
    <m/>
    <m/>
    <n v="20250630"/>
    <n v="8600669427"/>
    <m/>
    <m/>
    <s v="PAGO INTERBANC CAJA DE COMPENS"/>
    <m/>
    <x v="4"/>
    <n v="2847000"/>
    <n v="6"/>
  </r>
  <r>
    <n v="1"/>
    <s v="SA"/>
    <s v="Pago Incap"/>
    <x v="18"/>
    <d v="2025-06-30T00:00:00"/>
    <s v="PAGO INCAP"/>
    <s v="O003"/>
    <m/>
    <n v="121"/>
    <s v="S"/>
    <n v="1533010002"/>
    <m/>
    <m/>
    <m/>
    <m/>
    <m/>
    <m/>
    <m/>
    <m/>
    <n v="-1423500"/>
    <s v="COP"/>
    <m/>
    <m/>
    <m/>
    <m/>
    <m/>
    <m/>
    <m/>
    <s v="O003001452"/>
    <m/>
    <m/>
    <n v="20250630"/>
    <m/>
    <m/>
    <n v="20250630"/>
    <n v="8002492410"/>
    <m/>
    <m/>
    <s v="PAGO INTERBANC COOSALUD-ENTIDA"/>
    <m/>
    <x v="0"/>
    <n v="1423500"/>
    <n v="6"/>
  </r>
  <r>
    <n v="1"/>
    <s v="SA"/>
    <s v="Pago Incap"/>
    <x v="18"/>
    <d v="2025-06-30T00:00:00"/>
    <s v="PAGO INCAP"/>
    <s v="O003"/>
    <m/>
    <n v="122"/>
    <s v="S"/>
    <n v="1533010002"/>
    <m/>
    <m/>
    <m/>
    <m/>
    <m/>
    <m/>
    <m/>
    <m/>
    <n v="-1089774"/>
    <s v="COP"/>
    <m/>
    <m/>
    <m/>
    <m/>
    <m/>
    <m/>
    <m/>
    <s v="O003001452"/>
    <m/>
    <m/>
    <n v="20250630"/>
    <m/>
    <m/>
    <n v="20250630"/>
    <n v="8060083947"/>
    <m/>
    <m/>
    <s v="PAGO INTERBANC MUTUAL SER EPS"/>
    <m/>
    <x v="0"/>
    <n v="1089774"/>
    <n v="6"/>
  </r>
  <r>
    <n v="1"/>
    <s v="SA"/>
    <s v="Pago Incap"/>
    <x v="18"/>
    <d v="2025-06-30T00:00:00"/>
    <s v="PAGO INCAP"/>
    <s v="O003"/>
    <m/>
    <n v="123"/>
    <s v="S"/>
    <n v="1533010002"/>
    <m/>
    <m/>
    <m/>
    <m/>
    <m/>
    <m/>
    <m/>
    <m/>
    <n v="-518701"/>
    <s v="COP"/>
    <m/>
    <m/>
    <m/>
    <m/>
    <m/>
    <m/>
    <m/>
    <s v="O003001452"/>
    <m/>
    <m/>
    <n v="20250630"/>
    <m/>
    <m/>
    <n v="20250630"/>
    <n v="8000887022"/>
    <m/>
    <m/>
    <s v="PAGO DE PROV EPS SURAMERICAN"/>
    <m/>
    <x v="6"/>
    <n v="518701"/>
    <n v="6"/>
  </r>
  <r>
    <n v="1"/>
    <s v="SA"/>
    <s v="Pago Incap"/>
    <x v="18"/>
    <d v="2025-06-30T00:00:00"/>
    <s v="PAGO INCAP"/>
    <s v="O003"/>
    <m/>
    <n v="124"/>
    <s v="S"/>
    <n v="1533010002"/>
    <m/>
    <m/>
    <m/>
    <m/>
    <m/>
    <m/>
    <m/>
    <m/>
    <n v="-1042622"/>
    <s v="COP"/>
    <m/>
    <m/>
    <m/>
    <m/>
    <m/>
    <m/>
    <m/>
    <s v="O003001452"/>
    <m/>
    <m/>
    <n v="20250630"/>
    <m/>
    <m/>
    <n v="20250630"/>
    <n v="8301138310"/>
    <m/>
    <m/>
    <s v="PAGO DE PROV ALIANSALUD EPS"/>
    <m/>
    <x v="0"/>
    <n v="1042622"/>
    <n v="6"/>
  </r>
  <r>
    <n v="1"/>
    <s v="SA"/>
    <s v="Pago Incap"/>
    <x v="18"/>
    <d v="2025-06-30T00:00:00"/>
    <s v="PAGO INCAP"/>
    <s v="O003"/>
    <m/>
    <n v="125"/>
    <s v="S"/>
    <n v="1533010002"/>
    <m/>
    <m/>
    <m/>
    <m/>
    <m/>
    <m/>
    <m/>
    <m/>
    <n v="-616850"/>
    <s v="COP"/>
    <m/>
    <m/>
    <m/>
    <m/>
    <m/>
    <m/>
    <m/>
    <s v="O003001452"/>
    <m/>
    <m/>
    <n v="20250630"/>
    <m/>
    <m/>
    <n v="20250630"/>
    <n v="8140003371"/>
    <m/>
    <m/>
    <s v="PAGO INTERBANC EMSSANAR ENTIDA"/>
    <m/>
    <x v="2"/>
    <n v="616850"/>
    <n v="6"/>
  </r>
  <r>
    <n v="1"/>
    <s v="SA"/>
    <s v="Pago Incap"/>
    <x v="18"/>
    <d v="2025-06-30T00:00:00"/>
    <s v="PAGO INCAP"/>
    <s v="O003"/>
    <m/>
    <n v="126"/>
    <s v="S"/>
    <n v="1533010002"/>
    <m/>
    <m/>
    <m/>
    <m/>
    <m/>
    <m/>
    <m/>
    <m/>
    <n v="-2518107"/>
    <s v="COP"/>
    <m/>
    <m/>
    <m/>
    <m/>
    <m/>
    <m/>
    <m/>
    <s v="O003001452"/>
    <m/>
    <m/>
    <n v="20250630"/>
    <m/>
    <m/>
    <n v="20250630"/>
    <n v="8600021839"/>
    <m/>
    <m/>
    <s v="PAGO INTERBANC AXA COLPATRIA S"/>
    <m/>
    <x v="0"/>
    <n v="2518107"/>
    <n v="6"/>
  </r>
  <r>
    <n v="1"/>
    <s v="SA"/>
    <s v="Pago Incap"/>
    <x v="18"/>
    <d v="2025-06-30T00:00:00"/>
    <s v="PAGO INCAP"/>
    <s v="O003"/>
    <m/>
    <n v="127"/>
    <s v="S"/>
    <n v="1533010002"/>
    <m/>
    <m/>
    <m/>
    <m/>
    <m/>
    <m/>
    <m/>
    <m/>
    <n v="-11815098"/>
    <s v="COP"/>
    <m/>
    <m/>
    <m/>
    <m/>
    <m/>
    <m/>
    <m/>
    <s v="O003001452"/>
    <m/>
    <m/>
    <n v="20250630"/>
    <m/>
    <m/>
    <n v="20250630"/>
    <n v="8001309074"/>
    <m/>
    <m/>
    <s v="PAGO INTERBANC SALUD-TOTAL-EPS"/>
    <m/>
    <x v="0"/>
    <n v="11815098"/>
    <n v="6"/>
  </r>
  <r>
    <n v="1"/>
    <s v="SA"/>
    <s v="Pago Incap"/>
    <x v="18"/>
    <d v="2025-06-30T00:00:00"/>
    <s v="PAGO INCAP"/>
    <s v="O003"/>
    <m/>
    <n v="128"/>
    <s v="S"/>
    <n v="1533010002"/>
    <m/>
    <m/>
    <m/>
    <m/>
    <m/>
    <m/>
    <m/>
    <m/>
    <n v="-201867"/>
    <s v="COP"/>
    <m/>
    <m/>
    <m/>
    <m/>
    <m/>
    <m/>
    <m/>
    <s v="O003001452"/>
    <m/>
    <m/>
    <n v="20250630"/>
    <m/>
    <m/>
    <n v="20250630"/>
    <n v="8000887022"/>
    <m/>
    <m/>
    <s v="PAGO DE PROV EPS SURAMERICAN"/>
    <m/>
    <x v="6"/>
    <n v="201867"/>
    <n v="6"/>
  </r>
  <r>
    <n v="1"/>
    <s v="SA"/>
    <s v="Pago Incap"/>
    <x v="18"/>
    <d v="2025-06-30T00:00:00"/>
    <s v="PAGO INCAP"/>
    <s v="O003"/>
    <m/>
    <n v="129"/>
    <s v="S"/>
    <n v="1533010002"/>
    <m/>
    <m/>
    <m/>
    <m/>
    <m/>
    <m/>
    <m/>
    <m/>
    <n v="-47450"/>
    <s v="COP"/>
    <m/>
    <m/>
    <m/>
    <m/>
    <m/>
    <m/>
    <m/>
    <s v="O003001452"/>
    <m/>
    <m/>
    <n v="20250630"/>
    <m/>
    <m/>
    <n v="20250630"/>
    <n v="8060083947"/>
    <m/>
    <m/>
    <s v="PAGO DE PROV ASOCIACION MUTU"/>
    <m/>
    <x v="0"/>
    <n v="47450"/>
    <n v="6"/>
  </r>
  <r>
    <n v="1"/>
    <s v="SA"/>
    <s v="Pago Incap"/>
    <x v="18"/>
    <d v="2025-06-30T00:00:00"/>
    <s v="PAGO INCAP"/>
    <s v="O003"/>
    <m/>
    <n v="130"/>
    <s v="S"/>
    <n v="1533010002"/>
    <m/>
    <m/>
    <m/>
    <m/>
    <m/>
    <m/>
    <m/>
    <m/>
    <n v="-47450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47450"/>
    <n v="6"/>
  </r>
  <r>
    <n v="1"/>
    <s v="SA"/>
    <s v="Pago Incap"/>
    <x v="18"/>
    <d v="2025-06-30T00:00:00"/>
    <s v="PAGO INCAP"/>
    <s v="O003"/>
    <m/>
    <n v="131"/>
    <s v="S"/>
    <n v="1533010002"/>
    <m/>
    <m/>
    <m/>
    <m/>
    <m/>
    <m/>
    <m/>
    <m/>
    <n v="-55687"/>
    <s v="COP"/>
    <m/>
    <m/>
    <m/>
    <m/>
    <m/>
    <m/>
    <m/>
    <s v="O003001452"/>
    <m/>
    <m/>
    <n v="20250630"/>
    <m/>
    <m/>
    <n v="20250630"/>
    <n v="8600669427"/>
    <m/>
    <m/>
    <s v="PAGO INTERBANC CAJA DE COMPENS"/>
    <m/>
    <x v="4"/>
    <n v="55687"/>
    <n v="6"/>
  </r>
  <r>
    <n v="1"/>
    <s v="SA"/>
    <s v="Pago Incap"/>
    <x v="18"/>
    <d v="2025-06-30T00:00:00"/>
    <s v="PAGO INCAP"/>
    <s v="O003"/>
    <m/>
    <n v="132"/>
    <s v="S"/>
    <n v="1533010002"/>
    <m/>
    <m/>
    <m/>
    <m/>
    <m/>
    <m/>
    <m/>
    <m/>
    <n v="-1231430"/>
    <s v="COP"/>
    <m/>
    <m/>
    <m/>
    <m/>
    <m/>
    <m/>
    <m/>
    <s v="O003001452"/>
    <m/>
    <m/>
    <n v="20250630"/>
    <m/>
    <m/>
    <n v="20250630"/>
    <n v="8600021839"/>
    <m/>
    <m/>
    <s v="PAGO INTERBANC AXA COLPATRIA S"/>
    <m/>
    <x v="0"/>
    <n v="1231430"/>
    <n v="6"/>
  </r>
  <r>
    <n v="1"/>
    <s v="SA"/>
    <s v="Pago Incap"/>
    <x v="18"/>
    <d v="2025-06-30T00:00:00"/>
    <s v="PAGO INCAP"/>
    <s v="O003"/>
    <m/>
    <n v="133"/>
    <s v="S"/>
    <n v="1533010002"/>
    <m/>
    <m/>
    <m/>
    <m/>
    <m/>
    <m/>
    <m/>
    <m/>
    <n v="-4627095"/>
    <s v="COP"/>
    <m/>
    <m/>
    <m/>
    <m/>
    <m/>
    <m/>
    <m/>
    <s v="O003001452"/>
    <m/>
    <m/>
    <n v="20250630"/>
    <m/>
    <m/>
    <n v="20250630"/>
    <n v="8000887022"/>
    <m/>
    <m/>
    <s v="PAGO DE PROV EPS SURAMERICAN"/>
    <m/>
    <x v="6"/>
    <n v="4627095"/>
    <n v="6"/>
  </r>
  <r>
    <n v="1"/>
    <s v="SA"/>
    <s v="Pago Incap"/>
    <x v="18"/>
    <d v="2025-06-30T00:00:00"/>
    <s v="PAGO INCAP"/>
    <s v="O003"/>
    <m/>
    <n v="134"/>
    <s v="S"/>
    <n v="1533010002"/>
    <m/>
    <m/>
    <m/>
    <m/>
    <m/>
    <m/>
    <m/>
    <m/>
    <n v="-616164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616164"/>
    <n v="6"/>
  </r>
  <r>
    <n v="1"/>
    <s v="SA"/>
    <s v="Pago Incap"/>
    <x v="18"/>
    <d v="2025-06-30T00:00:00"/>
    <s v="PAGO INCAP"/>
    <s v="O003"/>
    <m/>
    <n v="135"/>
    <s v="S"/>
    <n v="1533010002"/>
    <m/>
    <m/>
    <m/>
    <m/>
    <m/>
    <m/>
    <m/>
    <m/>
    <n v="-13190804"/>
    <s v="COP"/>
    <m/>
    <m/>
    <m/>
    <m/>
    <m/>
    <m/>
    <m/>
    <s v="O003001452"/>
    <m/>
    <m/>
    <n v="20250630"/>
    <m/>
    <m/>
    <n v="20250630"/>
    <n v="8002514406"/>
    <m/>
    <m/>
    <s v="PAGO INTERBANC EPS SANITAS S A"/>
    <m/>
    <x v="1"/>
    <n v="13190804"/>
    <n v="6"/>
  </r>
  <r>
    <n v="1"/>
    <s v="SA"/>
    <s v="Pago Incap"/>
    <x v="18"/>
    <d v="2025-06-30T00:00:00"/>
    <s v="PAGO INCAP"/>
    <s v="O003"/>
    <m/>
    <n v="136"/>
    <s v="S"/>
    <n v="1533010002"/>
    <m/>
    <m/>
    <m/>
    <m/>
    <m/>
    <m/>
    <m/>
    <m/>
    <n v="-808850"/>
    <s v="COP"/>
    <m/>
    <m/>
    <m/>
    <m/>
    <m/>
    <m/>
    <m/>
    <s v="O003001452"/>
    <m/>
    <m/>
    <n v="20250630"/>
    <m/>
    <m/>
    <n v="20250630"/>
    <n v="8300035647"/>
    <m/>
    <m/>
    <s v="PAGO INTERBANC EPS FAMISANAR S"/>
    <m/>
    <x v="3"/>
    <n v="808850"/>
    <n v="6"/>
  </r>
  <r>
    <n v="1"/>
    <s v="SA"/>
    <s v="Pago Incap"/>
    <x v="19"/>
    <d v="2025-07-31T00:00:00"/>
    <s v="PAGO INCAP"/>
    <s v="O003"/>
    <m/>
    <n v="76"/>
    <s v="S"/>
    <n v="1533010002"/>
    <m/>
    <m/>
    <m/>
    <m/>
    <m/>
    <m/>
    <m/>
    <m/>
    <n v="-4027234"/>
    <s v="COP"/>
    <m/>
    <m/>
    <m/>
    <m/>
    <m/>
    <m/>
    <m/>
    <s v="O003001452"/>
    <m/>
    <m/>
    <n v="20250731"/>
    <m/>
    <m/>
    <n v="20250731"/>
    <n v="8301138310"/>
    <m/>
    <m/>
    <s v="PAGO DE PROV ALIANSALUD EPS"/>
    <m/>
    <x v="0"/>
    <n v="4027234"/>
    <n v="7"/>
  </r>
  <r>
    <n v="1"/>
    <s v="SA"/>
    <s v="Pago Incap"/>
    <x v="19"/>
    <d v="2025-07-31T00:00:00"/>
    <s v="PAGO INCAP"/>
    <s v="O003"/>
    <m/>
    <n v="77"/>
    <s v="S"/>
    <n v="1533010002"/>
    <m/>
    <m/>
    <m/>
    <m/>
    <m/>
    <m/>
    <m/>
    <m/>
    <n v="-397517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397517"/>
    <n v="7"/>
  </r>
  <r>
    <n v="1"/>
    <s v="SA"/>
    <s v="Pago Incap"/>
    <x v="19"/>
    <d v="2025-07-31T00:00:00"/>
    <s v="PAGO INCAP"/>
    <s v="O003"/>
    <m/>
    <n v="78"/>
    <s v="S"/>
    <n v="1533010002"/>
    <m/>
    <m/>
    <m/>
    <m/>
    <m/>
    <m/>
    <m/>
    <m/>
    <n v="-1423500"/>
    <s v="COP"/>
    <m/>
    <m/>
    <m/>
    <m/>
    <m/>
    <m/>
    <m/>
    <s v="O003001452"/>
    <m/>
    <m/>
    <n v="20250731"/>
    <m/>
    <m/>
    <n v="20250731"/>
    <n v="8002492410"/>
    <m/>
    <m/>
    <s v="PAGO INTERBANC COOSALUD-ENTIDA"/>
    <m/>
    <x v="0"/>
    <n v="1423500"/>
    <n v="7"/>
  </r>
  <r>
    <n v="1"/>
    <s v="SA"/>
    <s v="Pago Incap"/>
    <x v="19"/>
    <d v="2025-07-31T00:00:00"/>
    <s v="PAGO INCAP"/>
    <s v="O003"/>
    <m/>
    <n v="79"/>
    <s v="S"/>
    <n v="1533010002"/>
    <m/>
    <m/>
    <m/>
    <m/>
    <m/>
    <m/>
    <m/>
    <m/>
    <n v="-346672"/>
    <s v="COP"/>
    <m/>
    <m/>
    <m/>
    <m/>
    <m/>
    <m/>
    <m/>
    <s v="O003001452"/>
    <m/>
    <m/>
    <n v="20250731"/>
    <m/>
    <m/>
    <n v="20250731"/>
    <n v="9009142541"/>
    <m/>
    <m/>
    <s v="PAGO INTERBANC FUNDACION SALUD"/>
    <m/>
    <x v="0"/>
    <n v="346672"/>
    <n v="7"/>
  </r>
  <r>
    <n v="1"/>
    <s v="SA"/>
    <s v="Pago Incap"/>
    <x v="19"/>
    <d v="2025-07-31T00:00:00"/>
    <s v="PAGO INCAP"/>
    <s v="O003"/>
    <m/>
    <n v="80"/>
    <s v="S"/>
    <n v="1533010002"/>
    <m/>
    <m/>
    <m/>
    <m/>
    <m/>
    <m/>
    <m/>
    <m/>
    <n v="-260251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260251"/>
    <n v="7"/>
  </r>
  <r>
    <n v="1"/>
    <s v="SA"/>
    <s v="Pago Incap"/>
    <x v="19"/>
    <d v="2025-07-31T00:00:00"/>
    <s v="PAGO INCAP"/>
    <s v="O003"/>
    <m/>
    <n v="81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002492410"/>
    <m/>
    <m/>
    <s v="PAGO INTERBANC COOSALUD-ENTIDA"/>
    <m/>
    <x v="0"/>
    <n v="47450"/>
    <n v="7"/>
  </r>
  <r>
    <n v="1"/>
    <s v="SA"/>
    <s v="Pago Incap"/>
    <x v="19"/>
    <d v="2025-07-31T00:00:00"/>
    <s v="PAGO INCAP"/>
    <s v="O003"/>
    <m/>
    <n v="82"/>
    <s v="S"/>
    <n v="1533010002"/>
    <m/>
    <m/>
    <m/>
    <m/>
    <m/>
    <m/>
    <m/>
    <m/>
    <n v="-10716023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10716023"/>
    <n v="7"/>
  </r>
  <r>
    <n v="1"/>
    <s v="SA"/>
    <s v="Pago Incap"/>
    <x v="19"/>
    <d v="2025-07-31T00:00:00"/>
    <s v="PAGO INCAP"/>
    <s v="O003"/>
    <m/>
    <n v="83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060083947"/>
    <m/>
    <m/>
    <s v="PAGO DE PROV ASOCIACION MUTU"/>
    <m/>
    <x v="0"/>
    <n v="47450"/>
    <n v="7"/>
  </r>
  <r>
    <n v="1"/>
    <s v="SA"/>
    <s v="Pago Incap"/>
    <x v="19"/>
    <d v="2025-07-31T00:00:00"/>
    <s v="PAGO INCAP"/>
    <s v="O003"/>
    <m/>
    <n v="84"/>
    <s v="S"/>
    <n v="1533010002"/>
    <m/>
    <m/>
    <m/>
    <m/>
    <m/>
    <m/>
    <m/>
    <m/>
    <n v="-711750"/>
    <s v="COP"/>
    <m/>
    <m/>
    <m/>
    <m/>
    <m/>
    <m/>
    <m/>
    <s v="O003001452"/>
    <m/>
    <m/>
    <n v="20250731"/>
    <m/>
    <m/>
    <n v="20250731"/>
    <n v="8060083947"/>
    <m/>
    <m/>
    <s v="PAGO INTERBANC MUTUAL SER EPS"/>
    <m/>
    <x v="0"/>
    <n v="711750"/>
    <n v="7"/>
  </r>
  <r>
    <n v="1"/>
    <s v="SA"/>
    <s v="Pago Incap"/>
    <x v="19"/>
    <d v="2025-07-31T00:00:00"/>
    <s v="PAGO INCAP"/>
    <s v="O003"/>
    <m/>
    <n v="85"/>
    <s v="S"/>
    <n v="1533010002"/>
    <m/>
    <m/>
    <m/>
    <m/>
    <m/>
    <m/>
    <m/>
    <m/>
    <n v="-1894809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1894809"/>
    <n v="7"/>
  </r>
  <r>
    <n v="1"/>
    <s v="SA"/>
    <s v="Pago Incap"/>
    <x v="19"/>
    <d v="2025-07-31T00:00:00"/>
    <s v="PAGO INCAP"/>
    <s v="O003"/>
    <m/>
    <n v="86"/>
    <s v="S"/>
    <n v="1533010002"/>
    <m/>
    <m/>
    <m/>
    <m/>
    <m/>
    <m/>
    <m/>
    <m/>
    <n v="-4323482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4323482"/>
    <n v="7"/>
  </r>
  <r>
    <n v="1"/>
    <s v="SA"/>
    <s v="Pago Incap"/>
    <x v="19"/>
    <d v="2025-07-31T00:00:00"/>
    <s v="PAGO INCAP"/>
    <s v="O003"/>
    <m/>
    <n v="87"/>
    <s v="S"/>
    <n v="1533010002"/>
    <m/>
    <m/>
    <m/>
    <m/>
    <m/>
    <m/>
    <m/>
    <m/>
    <n v="-2188526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2188526"/>
    <n v="7"/>
  </r>
  <r>
    <n v="1"/>
    <s v="SA"/>
    <s v="Pago Incap"/>
    <x v="19"/>
    <d v="2025-07-31T00:00:00"/>
    <s v="PAGO INCAP"/>
    <s v="O003"/>
    <m/>
    <n v="88"/>
    <s v="S"/>
    <n v="1533010002"/>
    <m/>
    <m/>
    <m/>
    <m/>
    <m/>
    <m/>
    <m/>
    <m/>
    <n v="-814414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814414"/>
    <n v="7"/>
  </r>
  <r>
    <n v="1"/>
    <s v="SA"/>
    <s v="Pago Incap"/>
    <x v="19"/>
    <d v="2025-07-31T00:00:00"/>
    <s v="PAGO INCAP"/>
    <s v="O003"/>
    <m/>
    <n v="89"/>
    <s v="S"/>
    <n v="1533010002"/>
    <m/>
    <m/>
    <m/>
    <m/>
    <m/>
    <m/>
    <m/>
    <m/>
    <n v="-1999565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1999565"/>
    <n v="7"/>
  </r>
  <r>
    <n v="1"/>
    <s v="SA"/>
    <s v="Pago Incap"/>
    <x v="19"/>
    <d v="2025-07-31T00:00:00"/>
    <s v="PAGO INCAP"/>
    <s v="O003"/>
    <m/>
    <n v="90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47450"/>
    <n v="7"/>
  </r>
  <r>
    <n v="1"/>
    <s v="SA"/>
    <s v="Pago Incap"/>
    <x v="19"/>
    <d v="2025-07-31T00:00:00"/>
    <s v="PAGO INCAP"/>
    <s v="O003"/>
    <m/>
    <n v="91"/>
    <s v="S"/>
    <n v="1533010002"/>
    <m/>
    <m/>
    <m/>
    <m/>
    <m/>
    <m/>
    <m/>
    <m/>
    <n v="-38554680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38554680"/>
    <n v="7"/>
  </r>
  <r>
    <n v="1"/>
    <s v="SA"/>
    <s v="Pago Incap"/>
    <x v="19"/>
    <d v="2025-07-31T00:00:00"/>
    <s v="PAGO INCAP"/>
    <s v="O003"/>
    <m/>
    <n v="92"/>
    <s v="S"/>
    <n v="1533010002"/>
    <m/>
    <m/>
    <m/>
    <m/>
    <m/>
    <m/>
    <m/>
    <m/>
    <n v="-532811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532811"/>
    <n v="7"/>
  </r>
  <r>
    <n v="1"/>
    <s v="SA"/>
    <s v="Pago Incap"/>
    <x v="19"/>
    <d v="2025-07-31T00:00:00"/>
    <s v="PAGO INCAP"/>
    <s v="O003"/>
    <m/>
    <n v="93"/>
    <s v="S"/>
    <n v="1533010002"/>
    <m/>
    <m/>
    <m/>
    <m/>
    <m/>
    <m/>
    <m/>
    <m/>
    <n v="-794976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794976"/>
    <n v="7"/>
  </r>
  <r>
    <n v="1"/>
    <s v="SA"/>
    <s v="Pago Incap"/>
    <x v="19"/>
    <d v="2025-07-31T00:00:00"/>
    <s v="PAGO INCAP"/>
    <s v="O003"/>
    <m/>
    <n v="94"/>
    <s v="S"/>
    <n v="1533010002"/>
    <m/>
    <m/>
    <m/>
    <m/>
    <m/>
    <m/>
    <m/>
    <m/>
    <n v="-2210600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2210600"/>
    <n v="7"/>
  </r>
  <r>
    <n v="1"/>
    <s v="SA"/>
    <s v="Pago Incap"/>
    <x v="19"/>
    <d v="2025-07-31T00:00:00"/>
    <s v="PAGO INCAP"/>
    <s v="O003"/>
    <m/>
    <n v="95"/>
    <s v="S"/>
    <n v="1533010002"/>
    <m/>
    <m/>
    <m/>
    <m/>
    <m/>
    <m/>
    <m/>
    <m/>
    <n v="-461765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461765"/>
    <n v="7"/>
  </r>
  <r>
    <n v="1"/>
    <s v="SA"/>
    <s v="Pago Incap"/>
    <x v="19"/>
    <d v="2025-07-31T00:00:00"/>
    <s v="PAGO INCAP"/>
    <s v="O003"/>
    <m/>
    <n v="96"/>
    <s v="S"/>
    <n v="1533010002"/>
    <m/>
    <m/>
    <m/>
    <m/>
    <m/>
    <m/>
    <m/>
    <m/>
    <n v="-4080700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4080700"/>
    <n v="7"/>
  </r>
  <r>
    <n v="1"/>
    <s v="SA"/>
    <s v="Pago Incap"/>
    <x v="19"/>
    <d v="2025-07-31T00:00:00"/>
    <s v="PAGO INCAP"/>
    <s v="O003"/>
    <m/>
    <n v="97"/>
    <s v="S"/>
    <n v="1533010002"/>
    <m/>
    <m/>
    <m/>
    <m/>
    <m/>
    <m/>
    <m/>
    <m/>
    <n v="-9177985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9177985"/>
    <n v="7"/>
  </r>
  <r>
    <n v="1"/>
    <s v="SA"/>
    <s v="Pago Incap"/>
    <x v="19"/>
    <d v="2025-07-31T00:00:00"/>
    <s v="PAGO INCAP"/>
    <s v="O003"/>
    <m/>
    <n v="98"/>
    <s v="S"/>
    <n v="1533010002"/>
    <m/>
    <m/>
    <m/>
    <m/>
    <m/>
    <m/>
    <m/>
    <m/>
    <n v="-6861649"/>
    <s v="COP"/>
    <m/>
    <m/>
    <m/>
    <m/>
    <m/>
    <m/>
    <m/>
    <s v="O003001452"/>
    <m/>
    <m/>
    <n v="20250731"/>
    <m/>
    <m/>
    <n v="20250731"/>
    <n v="8001309074"/>
    <m/>
    <m/>
    <s v="PAGO INTERBANC SALUD-TOTAL-EPS"/>
    <m/>
    <x v="0"/>
    <n v="6861649"/>
    <n v="7"/>
  </r>
  <r>
    <n v="1"/>
    <s v="SA"/>
    <s v="Pago Incap"/>
    <x v="19"/>
    <d v="2025-07-31T00:00:00"/>
    <s v="PAGO INCAP"/>
    <s v="O003"/>
    <m/>
    <n v="99"/>
    <s v="S"/>
    <n v="1533010002"/>
    <m/>
    <m/>
    <m/>
    <m/>
    <m/>
    <m/>
    <m/>
    <m/>
    <n v="-1349867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1349867"/>
    <n v="7"/>
  </r>
  <r>
    <n v="1"/>
    <s v="SA"/>
    <s v="Pago Incap"/>
    <x v="19"/>
    <d v="2025-07-31T00:00:00"/>
    <s v="PAGO INCAP"/>
    <s v="O003"/>
    <m/>
    <n v="100"/>
    <s v="S"/>
    <n v="1533010002"/>
    <m/>
    <m/>
    <m/>
    <m/>
    <m/>
    <m/>
    <m/>
    <m/>
    <n v="-534973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534973"/>
    <n v="7"/>
  </r>
  <r>
    <n v="1"/>
    <s v="SA"/>
    <s v="Pago Incap"/>
    <x v="19"/>
    <d v="2025-07-31T00:00:00"/>
    <s v="PAGO INCAP"/>
    <s v="O003"/>
    <m/>
    <n v="101"/>
    <s v="S"/>
    <n v="1533010002"/>
    <m/>
    <m/>
    <m/>
    <m/>
    <m/>
    <m/>
    <m/>
    <m/>
    <n v="-1747700"/>
    <s v="COP"/>
    <m/>
    <m/>
    <m/>
    <m/>
    <m/>
    <m/>
    <m/>
    <s v="O003001452"/>
    <m/>
    <m/>
    <n v="20250731"/>
    <m/>
    <m/>
    <n v="20250731"/>
    <n v="8914800001"/>
    <m/>
    <m/>
    <s v="PAGO INTERBANC CAJA DE COMPENS"/>
    <m/>
    <x v="0"/>
    <n v="1747700"/>
    <n v="7"/>
  </r>
  <r>
    <n v="1"/>
    <s v="SA"/>
    <s v="Pago Incap"/>
    <x v="19"/>
    <d v="2025-07-31T00:00:00"/>
    <s v="PAGO INCAP"/>
    <s v="O003"/>
    <m/>
    <n v="102"/>
    <s v="S"/>
    <n v="1533010002"/>
    <m/>
    <m/>
    <m/>
    <m/>
    <m/>
    <m/>
    <m/>
    <m/>
    <n v="-561527"/>
    <s v="COP"/>
    <m/>
    <m/>
    <m/>
    <m/>
    <m/>
    <m/>
    <m/>
    <s v="O003001452"/>
    <m/>
    <m/>
    <n v="20250731"/>
    <m/>
    <m/>
    <n v="20250731"/>
    <n v="8301138310"/>
    <m/>
    <m/>
    <s v="PAGO DE PROV ALIANSALUD EPS"/>
    <m/>
    <x v="0"/>
    <n v="561527"/>
    <n v="7"/>
  </r>
  <r>
    <n v="1"/>
    <s v="SA"/>
    <s v="Pago Incap"/>
    <x v="19"/>
    <d v="2025-07-31T00:00:00"/>
    <s v="PAGO INCAP"/>
    <s v="O003"/>
    <m/>
    <n v="103"/>
    <s v="S"/>
    <n v="1533010002"/>
    <m/>
    <m/>
    <m/>
    <m/>
    <m/>
    <m/>
    <m/>
    <m/>
    <n v="-1423500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1423500"/>
    <n v="7"/>
  </r>
  <r>
    <n v="1"/>
    <s v="SA"/>
    <s v="Pago Incap"/>
    <x v="19"/>
    <d v="2025-07-31T00:00:00"/>
    <s v="PAGO INCAP"/>
    <s v="O003"/>
    <m/>
    <n v="104"/>
    <s v="S"/>
    <n v="1533010002"/>
    <m/>
    <m/>
    <m/>
    <m/>
    <m/>
    <m/>
    <m/>
    <m/>
    <n v="-859521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859521"/>
    <n v="7"/>
  </r>
  <r>
    <n v="1"/>
    <s v="SA"/>
    <s v="Pago Incap"/>
    <x v="19"/>
    <d v="2025-07-31T00:00:00"/>
    <s v="PAGO INCAP"/>
    <s v="O003"/>
    <m/>
    <n v="105"/>
    <s v="S"/>
    <n v="1533010002"/>
    <m/>
    <m/>
    <m/>
    <m/>
    <m/>
    <m/>
    <m/>
    <m/>
    <n v="-16781014"/>
    <s v="COP"/>
    <m/>
    <m/>
    <m/>
    <m/>
    <m/>
    <m/>
    <m/>
    <s v="O003001452"/>
    <m/>
    <m/>
    <n v="20250731"/>
    <m/>
    <m/>
    <n v="20250731"/>
    <n v="9001562642"/>
    <m/>
    <m/>
    <s v="PAGO DE PROV NUEVA EMPRESA P"/>
    <m/>
    <x v="5"/>
    <n v="16781014"/>
    <n v="7"/>
  </r>
  <r>
    <n v="1"/>
    <s v="SA"/>
    <s v="Pago Incap"/>
    <x v="19"/>
    <d v="2025-07-31T00:00:00"/>
    <s v="PAGO INCAP"/>
    <s v="O003"/>
    <m/>
    <n v="106"/>
    <s v="S"/>
    <n v="1533010002"/>
    <m/>
    <m/>
    <m/>
    <m/>
    <m/>
    <m/>
    <m/>
    <m/>
    <n v="-1376050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1376050"/>
    <n v="7"/>
  </r>
  <r>
    <n v="1"/>
    <s v="SA"/>
    <s v="Pago Incap"/>
    <x v="19"/>
    <d v="2025-07-31T00:00:00"/>
    <s v="PAGO INCAP"/>
    <s v="O003"/>
    <m/>
    <n v="107"/>
    <s v="S"/>
    <n v="1533010002"/>
    <m/>
    <m/>
    <m/>
    <m/>
    <m/>
    <m/>
    <m/>
    <m/>
    <n v="-589088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589088"/>
    <n v="7"/>
  </r>
  <r>
    <n v="1"/>
    <s v="SA"/>
    <s v="Pago Incap"/>
    <x v="19"/>
    <d v="2025-07-31T00:00:00"/>
    <s v="PAGO INCAP"/>
    <s v="O003"/>
    <m/>
    <n v="108"/>
    <s v="S"/>
    <n v="1533010002"/>
    <m/>
    <m/>
    <m/>
    <m/>
    <m/>
    <m/>
    <m/>
    <m/>
    <n v="-1510010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1510010"/>
    <n v="7"/>
  </r>
  <r>
    <n v="1"/>
    <s v="SA"/>
    <s v="Pago Incap"/>
    <x v="19"/>
    <d v="2025-07-31T00:00:00"/>
    <s v="PAGO INCAP"/>
    <s v="O003"/>
    <m/>
    <n v="109"/>
    <s v="S"/>
    <n v="1533010002"/>
    <m/>
    <m/>
    <m/>
    <m/>
    <m/>
    <m/>
    <m/>
    <m/>
    <n v="-1138800"/>
    <s v="COP"/>
    <m/>
    <m/>
    <m/>
    <m/>
    <m/>
    <m/>
    <m/>
    <s v="O003001452"/>
    <m/>
    <m/>
    <n v="20250731"/>
    <m/>
    <m/>
    <n v="20250731"/>
    <n v="8050011572"/>
    <m/>
    <m/>
    <s v="PAGO INTERBANC EPS  SOS S A"/>
    <m/>
    <x v="0"/>
    <n v="1138800"/>
    <n v="7"/>
  </r>
  <r>
    <n v="1"/>
    <s v="SA"/>
    <s v="Pago Incap"/>
    <x v="19"/>
    <d v="2025-07-31T00:00:00"/>
    <s v="PAGO INCAP"/>
    <s v="O003"/>
    <m/>
    <n v="110"/>
    <s v="S"/>
    <n v="1533010002"/>
    <m/>
    <m/>
    <m/>
    <m/>
    <m/>
    <m/>
    <m/>
    <m/>
    <n v="-277355"/>
    <s v="COP"/>
    <m/>
    <m/>
    <m/>
    <m/>
    <m/>
    <m/>
    <m/>
    <s v="O003001452"/>
    <m/>
    <m/>
    <n v="20250731"/>
    <m/>
    <m/>
    <n v="20250731"/>
    <n v="8301138310"/>
    <m/>
    <m/>
    <s v="PAGO DE PROV ALIANSALUD EPS"/>
    <m/>
    <x v="0"/>
    <n v="277355"/>
    <n v="7"/>
  </r>
  <r>
    <n v="1"/>
    <s v="SA"/>
    <s v="Pago Incap"/>
    <x v="19"/>
    <d v="2025-07-31T00:00:00"/>
    <s v="PAGO INCAP"/>
    <s v="O003"/>
    <m/>
    <n v="111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47450"/>
    <n v="7"/>
  </r>
  <r>
    <n v="1"/>
    <s v="SA"/>
    <s v="Pago Incap"/>
    <x v="19"/>
    <d v="2025-07-31T00:00:00"/>
    <s v="PAGO INCAP"/>
    <s v="O003"/>
    <m/>
    <n v="112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47450"/>
    <n v="7"/>
  </r>
  <r>
    <n v="1"/>
    <s v="SA"/>
    <s v="Pago Incap"/>
    <x v="19"/>
    <d v="2025-07-31T00:00:00"/>
    <s v="PAGO INCAP"/>
    <s v="O003"/>
    <m/>
    <n v="113"/>
    <s v="S"/>
    <n v="1533010002"/>
    <m/>
    <m/>
    <m/>
    <m/>
    <m/>
    <m/>
    <m/>
    <m/>
    <n v="-1567293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1567293"/>
    <n v="7"/>
  </r>
  <r>
    <n v="1"/>
    <s v="SA"/>
    <s v="Pago Incap"/>
    <x v="19"/>
    <d v="2025-07-31T00:00:00"/>
    <s v="PAGO INCAP"/>
    <s v="O003"/>
    <m/>
    <n v="114"/>
    <s v="S"/>
    <n v="1533010002"/>
    <m/>
    <m/>
    <m/>
    <m/>
    <m/>
    <m/>
    <m/>
    <m/>
    <n v="-814943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814943"/>
    <n v="7"/>
  </r>
  <r>
    <n v="1"/>
    <s v="SA"/>
    <s v="Pago Incap"/>
    <x v="19"/>
    <d v="2025-07-31T00:00:00"/>
    <s v="PAGO INCAP"/>
    <s v="O003"/>
    <m/>
    <n v="115"/>
    <s v="S"/>
    <n v="1533010002"/>
    <m/>
    <m/>
    <m/>
    <m/>
    <m/>
    <m/>
    <m/>
    <m/>
    <n v="-2828778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2828778"/>
    <n v="7"/>
  </r>
  <r>
    <n v="1"/>
    <s v="SA"/>
    <s v="Pago Incap"/>
    <x v="19"/>
    <d v="2025-07-31T00:00:00"/>
    <s v="PAGO INCAP"/>
    <s v="O003"/>
    <m/>
    <n v="116"/>
    <s v="S"/>
    <n v="1533010002"/>
    <m/>
    <m/>
    <m/>
    <m/>
    <m/>
    <m/>
    <m/>
    <m/>
    <n v="-237250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237250"/>
    <n v="7"/>
  </r>
  <r>
    <n v="1"/>
    <s v="SA"/>
    <s v="Pago Incap"/>
    <x v="19"/>
    <d v="2025-07-31T00:00:00"/>
    <s v="PAGO INCAP"/>
    <s v="O003"/>
    <m/>
    <n v="117"/>
    <s v="S"/>
    <n v="1533010002"/>
    <m/>
    <m/>
    <m/>
    <m/>
    <m/>
    <m/>
    <m/>
    <m/>
    <n v="-5578592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5578592"/>
    <n v="7"/>
  </r>
  <r>
    <n v="1"/>
    <s v="SA"/>
    <s v="Pago Incap"/>
    <x v="19"/>
    <d v="2025-07-31T00:00:00"/>
    <s v="PAGO INCAP"/>
    <s v="O003"/>
    <m/>
    <n v="118"/>
    <s v="S"/>
    <n v="1533010002"/>
    <m/>
    <m/>
    <m/>
    <m/>
    <m/>
    <m/>
    <m/>
    <m/>
    <n v="-996450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996450"/>
    <n v="7"/>
  </r>
  <r>
    <n v="1"/>
    <s v="SA"/>
    <s v="Pago Incap"/>
    <x v="19"/>
    <d v="2025-07-31T00:00:00"/>
    <s v="PAGO INCAP"/>
    <s v="O003"/>
    <m/>
    <n v="119"/>
    <s v="S"/>
    <n v="1533010002"/>
    <m/>
    <m/>
    <m/>
    <m/>
    <m/>
    <m/>
    <m/>
    <m/>
    <n v="-521950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521950"/>
    <n v="7"/>
  </r>
  <r>
    <n v="1"/>
    <s v="SA"/>
    <s v="Pago Incap"/>
    <x v="19"/>
    <d v="2025-07-31T00:00:00"/>
    <s v="PAGO INCAP"/>
    <s v="O003"/>
    <m/>
    <n v="120"/>
    <s v="S"/>
    <n v="1533010002"/>
    <m/>
    <m/>
    <m/>
    <m/>
    <m/>
    <m/>
    <m/>
    <m/>
    <n v="-189800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189800"/>
    <n v="7"/>
  </r>
  <r>
    <n v="1"/>
    <s v="SA"/>
    <s v="Pago Incap"/>
    <x v="19"/>
    <d v="2025-07-31T00:00:00"/>
    <s v="PAGO INCAP"/>
    <s v="O003"/>
    <m/>
    <n v="121"/>
    <s v="S"/>
    <n v="1533010002"/>
    <m/>
    <m/>
    <m/>
    <m/>
    <m/>
    <m/>
    <m/>
    <m/>
    <n v="-895545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895545"/>
    <n v="7"/>
  </r>
  <r>
    <n v="1"/>
    <s v="SA"/>
    <s v="Pago Incap"/>
    <x v="19"/>
    <d v="2025-07-31T00:00:00"/>
    <s v="PAGO INCAP"/>
    <s v="O003"/>
    <m/>
    <n v="122"/>
    <s v="S"/>
    <n v="1533010002"/>
    <m/>
    <m/>
    <m/>
    <m/>
    <m/>
    <m/>
    <m/>
    <m/>
    <n v="-15378195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15378195"/>
    <n v="7"/>
  </r>
  <r>
    <n v="1"/>
    <s v="SA"/>
    <s v="Pago Incap"/>
    <x v="19"/>
    <d v="2025-07-31T00:00:00"/>
    <s v="PAGO INCAP"/>
    <s v="O003"/>
    <m/>
    <n v="123"/>
    <s v="S"/>
    <n v="1533010002"/>
    <m/>
    <m/>
    <m/>
    <m/>
    <m/>
    <m/>
    <m/>
    <m/>
    <n v="-381869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381869"/>
    <n v="7"/>
  </r>
  <r>
    <n v="1"/>
    <s v="SA"/>
    <s v="Pago Incap"/>
    <x v="19"/>
    <d v="2025-07-31T00:00:00"/>
    <s v="PAGO INCAP"/>
    <s v="O003"/>
    <m/>
    <n v="124"/>
    <s v="S"/>
    <n v="1533010002"/>
    <m/>
    <m/>
    <m/>
    <m/>
    <m/>
    <m/>
    <m/>
    <m/>
    <n v="-2894450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2894450"/>
    <n v="7"/>
  </r>
  <r>
    <n v="1"/>
    <s v="SA"/>
    <s v="Pago Incap"/>
    <x v="19"/>
    <d v="2025-07-31T00:00:00"/>
    <s v="PAGO INCAP"/>
    <s v="O003"/>
    <m/>
    <n v="125"/>
    <s v="S"/>
    <n v="1533010002"/>
    <m/>
    <m/>
    <m/>
    <m/>
    <m/>
    <m/>
    <m/>
    <m/>
    <n v="-996450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996450"/>
    <n v="7"/>
  </r>
  <r>
    <n v="1"/>
    <s v="SA"/>
    <s v="Pago Incap"/>
    <x v="19"/>
    <d v="2025-07-31T00:00:00"/>
    <s v="PAGO INCAP"/>
    <s v="O003"/>
    <m/>
    <n v="126"/>
    <s v="S"/>
    <n v="1533010002"/>
    <m/>
    <m/>
    <m/>
    <m/>
    <m/>
    <m/>
    <m/>
    <m/>
    <n v="-51870136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51870136"/>
    <n v="7"/>
  </r>
  <r>
    <n v="1"/>
    <s v="SA"/>
    <s v="Pago Incap"/>
    <x v="19"/>
    <d v="2025-07-31T00:00:00"/>
    <s v="PAGO INCAP"/>
    <s v="O003"/>
    <m/>
    <n v="127"/>
    <s v="S"/>
    <n v="1533010002"/>
    <m/>
    <m/>
    <m/>
    <m/>
    <m/>
    <m/>
    <m/>
    <m/>
    <n v="-3087656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3087656"/>
    <n v="7"/>
  </r>
  <r>
    <n v="1"/>
    <s v="SA"/>
    <s v="Pago Incap"/>
    <x v="19"/>
    <d v="2025-07-31T00:00:00"/>
    <s v="PAGO INCAP"/>
    <s v="O003"/>
    <m/>
    <n v="128"/>
    <s v="S"/>
    <n v="1533010002"/>
    <m/>
    <m/>
    <m/>
    <m/>
    <m/>
    <m/>
    <m/>
    <m/>
    <n v="-3186444"/>
    <s v="COP"/>
    <m/>
    <m/>
    <m/>
    <m/>
    <m/>
    <m/>
    <m/>
    <s v="O003001452"/>
    <m/>
    <m/>
    <n v="20250731"/>
    <m/>
    <m/>
    <n v="20250731"/>
    <n v="8301138310"/>
    <m/>
    <m/>
    <s v="PAGO DE PROV ALIANSALUD EPS"/>
    <m/>
    <x v="0"/>
    <n v="3186444"/>
    <n v="7"/>
  </r>
  <r>
    <n v="1"/>
    <s v="SA"/>
    <s v="Pago Incap"/>
    <x v="19"/>
    <d v="2025-07-31T00:00:00"/>
    <s v="PAGO INCAP"/>
    <s v="O003"/>
    <m/>
    <n v="129"/>
    <s v="S"/>
    <n v="1533010002"/>
    <m/>
    <m/>
    <m/>
    <m/>
    <m/>
    <m/>
    <m/>
    <m/>
    <n v="-142350"/>
    <s v="COP"/>
    <m/>
    <m/>
    <m/>
    <m/>
    <m/>
    <m/>
    <m/>
    <s v="O003001452"/>
    <m/>
    <m/>
    <n v="20250731"/>
    <m/>
    <m/>
    <n v="20250731"/>
    <n v="8060083947"/>
    <m/>
    <m/>
    <s v="PAGO DE PROV ASOCIACION MUTU"/>
    <m/>
    <x v="0"/>
    <n v="142350"/>
    <n v="7"/>
  </r>
  <r>
    <n v="1"/>
    <s v="SA"/>
    <s v="Pago Incap"/>
    <x v="19"/>
    <d v="2025-07-31T00:00:00"/>
    <s v="PAGO INCAP"/>
    <s v="O003"/>
    <m/>
    <n v="130"/>
    <s v="S"/>
    <n v="1533010002"/>
    <m/>
    <m/>
    <m/>
    <m/>
    <m/>
    <m/>
    <m/>
    <m/>
    <n v="-24478228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24478228"/>
    <n v="7"/>
  </r>
  <r>
    <n v="1"/>
    <s v="SA"/>
    <s v="Pago Incap"/>
    <x v="19"/>
    <d v="2025-07-31T00:00:00"/>
    <s v="PAGO INCAP"/>
    <s v="O003"/>
    <m/>
    <n v="131"/>
    <s v="S"/>
    <n v="1533010002"/>
    <m/>
    <m/>
    <m/>
    <m/>
    <m/>
    <m/>
    <m/>
    <m/>
    <n v="-2288622"/>
    <s v="COP"/>
    <m/>
    <m/>
    <m/>
    <m/>
    <m/>
    <m/>
    <m/>
    <s v="O003001452"/>
    <m/>
    <m/>
    <n v="20250731"/>
    <m/>
    <m/>
    <n v="20250731"/>
    <n v="8001309074"/>
    <m/>
    <m/>
    <s v="PAGO INTERBANC SALUD-TOTAL-EPS"/>
    <m/>
    <x v="0"/>
    <n v="2288622"/>
    <n v="7"/>
  </r>
  <r>
    <n v="1"/>
    <s v="SA"/>
    <s v="Pago Incap"/>
    <x v="19"/>
    <d v="2025-07-31T00:00:00"/>
    <s v="PAGO INCAP"/>
    <s v="O003"/>
    <m/>
    <n v="132"/>
    <s v="S"/>
    <n v="1533010002"/>
    <m/>
    <m/>
    <m/>
    <m/>
    <m/>
    <m/>
    <m/>
    <m/>
    <n v="-7151382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7151382"/>
    <n v="7"/>
  </r>
  <r>
    <n v="1"/>
    <s v="SA"/>
    <s v="Pago Incap"/>
    <x v="19"/>
    <d v="2025-07-31T00:00:00"/>
    <s v="PAGO INCAP"/>
    <s v="O003"/>
    <m/>
    <n v="133"/>
    <s v="S"/>
    <n v="1533010002"/>
    <m/>
    <m/>
    <m/>
    <m/>
    <m/>
    <m/>
    <m/>
    <m/>
    <n v="-10253452"/>
    <s v="COP"/>
    <m/>
    <m/>
    <m/>
    <m/>
    <m/>
    <m/>
    <m/>
    <s v="O003001452"/>
    <m/>
    <m/>
    <n v="20250731"/>
    <m/>
    <m/>
    <n v="20250731"/>
    <n v="8001309074"/>
    <m/>
    <m/>
    <s v="PAGO INTERBANC SALUD-TOTAL-EPS"/>
    <m/>
    <x v="0"/>
    <n v="10253452"/>
    <n v="7"/>
  </r>
  <r>
    <n v="1"/>
    <s v="SA"/>
    <s v="Pago Incap"/>
    <x v="19"/>
    <d v="2025-07-31T00:00:00"/>
    <s v="PAGO INCAP"/>
    <s v="O003"/>
    <m/>
    <n v="134"/>
    <s v="S"/>
    <n v="1533010002"/>
    <m/>
    <m/>
    <m/>
    <m/>
    <m/>
    <m/>
    <m/>
    <m/>
    <n v="-595704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595704"/>
    <n v="7"/>
  </r>
  <r>
    <n v="1"/>
    <s v="SA"/>
    <s v="Pago Incap"/>
    <x v="19"/>
    <d v="2025-07-31T00:00:00"/>
    <s v="PAGO INCAP"/>
    <s v="O003"/>
    <m/>
    <n v="135"/>
    <s v="S"/>
    <n v="1533010002"/>
    <m/>
    <m/>
    <m/>
    <m/>
    <m/>
    <m/>
    <m/>
    <m/>
    <n v="-7510122"/>
    <s v="COP"/>
    <m/>
    <m/>
    <m/>
    <m/>
    <m/>
    <m/>
    <m/>
    <s v="O003001452"/>
    <m/>
    <m/>
    <n v="20250731"/>
    <m/>
    <m/>
    <n v="20250731"/>
    <n v="8050011572"/>
    <m/>
    <m/>
    <s v="PAGO INTERBANC EPS  SOS S A"/>
    <m/>
    <x v="0"/>
    <n v="7510122"/>
    <n v="7"/>
  </r>
  <r>
    <n v="1"/>
    <s v="SA"/>
    <s v="Pago Incap"/>
    <x v="19"/>
    <d v="2025-07-31T00:00:00"/>
    <s v="PAGO INCAP"/>
    <s v="O003"/>
    <m/>
    <n v="136"/>
    <s v="S"/>
    <n v="1533010002"/>
    <m/>
    <m/>
    <m/>
    <m/>
    <m/>
    <m/>
    <m/>
    <m/>
    <n v="-179407"/>
    <s v="COP"/>
    <m/>
    <m/>
    <m/>
    <m/>
    <m/>
    <m/>
    <m/>
    <s v="O003001452"/>
    <m/>
    <m/>
    <n v="20250731"/>
    <m/>
    <m/>
    <n v="20250731"/>
    <n v="8301138310"/>
    <m/>
    <m/>
    <s v="PAGO DE PROV ALIANSALUD EPS"/>
    <m/>
    <x v="0"/>
    <n v="179407"/>
    <n v="7"/>
  </r>
  <r>
    <n v="1"/>
    <s v="SA"/>
    <s v="Pago Incap"/>
    <x v="19"/>
    <d v="2025-07-31T00:00:00"/>
    <s v="PAGO INCAP"/>
    <s v="O003"/>
    <m/>
    <n v="137"/>
    <s v="S"/>
    <n v="1533010002"/>
    <m/>
    <m/>
    <m/>
    <m/>
    <m/>
    <m/>
    <m/>
    <m/>
    <n v="-125966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125966"/>
    <n v="7"/>
  </r>
  <r>
    <n v="1"/>
    <s v="SA"/>
    <s v="Pago Incap"/>
    <x v="19"/>
    <d v="2025-07-31T00:00:00"/>
    <s v="PAGO INCAP"/>
    <s v="O003"/>
    <m/>
    <n v="138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060083947"/>
    <m/>
    <m/>
    <s v="PAGO INTERBANC MUTUAL SER EPS"/>
    <m/>
    <x v="0"/>
    <n v="47450"/>
    <n v="7"/>
  </r>
  <r>
    <n v="1"/>
    <s v="SA"/>
    <s v="Pago Incap"/>
    <x v="19"/>
    <d v="2025-07-31T00:00:00"/>
    <s v="PAGO INCAP"/>
    <s v="O003"/>
    <m/>
    <n v="139"/>
    <s v="S"/>
    <n v="1533010002"/>
    <m/>
    <m/>
    <m/>
    <m/>
    <m/>
    <m/>
    <m/>
    <m/>
    <n v="-538089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538089"/>
    <n v="7"/>
  </r>
  <r>
    <n v="1"/>
    <s v="SA"/>
    <s v="Pago Incap"/>
    <x v="19"/>
    <d v="2025-07-31T00:00:00"/>
    <s v="PAGO INCAP"/>
    <s v="O003"/>
    <m/>
    <n v="140"/>
    <s v="S"/>
    <n v="1533010002"/>
    <m/>
    <m/>
    <m/>
    <m/>
    <m/>
    <m/>
    <m/>
    <m/>
    <n v="-4974735"/>
    <s v="COP"/>
    <m/>
    <m/>
    <m/>
    <m/>
    <m/>
    <m/>
    <m/>
    <s v="O003001452"/>
    <m/>
    <m/>
    <n v="20250731"/>
    <m/>
    <m/>
    <n v="20250731"/>
    <n v="8600669427"/>
    <m/>
    <m/>
    <s v="PAGO INTERBANC CAJA DE COMPENS"/>
    <m/>
    <x v="4"/>
    <n v="4974735"/>
    <n v="7"/>
  </r>
  <r>
    <n v="1"/>
    <s v="SA"/>
    <s v="Pago Incap"/>
    <x v="19"/>
    <d v="2025-07-31T00:00:00"/>
    <s v="PAGO INCAP"/>
    <s v="O003"/>
    <m/>
    <n v="141"/>
    <s v="S"/>
    <n v="1533010002"/>
    <m/>
    <m/>
    <m/>
    <m/>
    <m/>
    <m/>
    <m/>
    <m/>
    <n v="-237250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237250"/>
    <n v="7"/>
  </r>
  <r>
    <n v="1"/>
    <s v="SA"/>
    <s v="Pago Incap"/>
    <x v="19"/>
    <d v="2025-07-31T00:00:00"/>
    <s v="PAGO INCAP"/>
    <s v="O003"/>
    <m/>
    <n v="142"/>
    <s v="S"/>
    <n v="1533010002"/>
    <m/>
    <m/>
    <m/>
    <m/>
    <m/>
    <m/>
    <m/>
    <m/>
    <n v="-47450"/>
    <s v="COP"/>
    <m/>
    <m/>
    <m/>
    <m/>
    <m/>
    <m/>
    <m/>
    <s v="O003001452"/>
    <m/>
    <m/>
    <n v="20250731"/>
    <m/>
    <m/>
    <n v="20250731"/>
    <n v="8301138310"/>
    <m/>
    <m/>
    <s v="PAGO DE PROV ALIANSALUD EPS"/>
    <m/>
    <x v="0"/>
    <n v="47450"/>
    <n v="7"/>
  </r>
  <r>
    <n v="1"/>
    <s v="SA"/>
    <s v="Pago Incap"/>
    <x v="19"/>
    <d v="2025-07-31T00:00:00"/>
    <s v="PAGO INCAP"/>
    <s v="O003"/>
    <m/>
    <n v="143"/>
    <s v="S"/>
    <n v="1533010002"/>
    <m/>
    <m/>
    <m/>
    <m/>
    <m/>
    <m/>
    <m/>
    <m/>
    <n v="-2354625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2354625"/>
    <n v="7"/>
  </r>
  <r>
    <n v="1"/>
    <s v="SA"/>
    <s v="Pago Incap"/>
    <x v="19"/>
    <d v="2025-07-31T00:00:00"/>
    <s v="PAGO INCAP"/>
    <s v="O003"/>
    <m/>
    <n v="144"/>
    <s v="S"/>
    <n v="1533010002"/>
    <m/>
    <m/>
    <m/>
    <m/>
    <m/>
    <m/>
    <m/>
    <m/>
    <n v="-3070661"/>
    <s v="COP"/>
    <m/>
    <m/>
    <m/>
    <m/>
    <m/>
    <m/>
    <m/>
    <s v="O003001452"/>
    <m/>
    <m/>
    <n v="20250731"/>
    <m/>
    <m/>
    <n v="20250731"/>
    <n v="8300035647"/>
    <m/>
    <m/>
    <s v="PAGO INTERBANC EPS FAMISANAR S"/>
    <m/>
    <x v="3"/>
    <n v="3070661"/>
    <n v="7"/>
  </r>
  <r>
    <n v="1"/>
    <s v="SA"/>
    <s v="Pago Incap"/>
    <x v="19"/>
    <d v="2025-07-31T00:00:00"/>
    <s v="PAGO INCAP"/>
    <s v="O003"/>
    <m/>
    <n v="145"/>
    <s v="S"/>
    <n v="1533010002"/>
    <m/>
    <m/>
    <m/>
    <m/>
    <m/>
    <m/>
    <m/>
    <m/>
    <n v="-38667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38667"/>
    <n v="7"/>
  </r>
  <r>
    <n v="1"/>
    <s v="SA"/>
    <s v="Pago Incap"/>
    <x v="19"/>
    <d v="2025-07-31T00:00:00"/>
    <s v="PAGO INCAP"/>
    <s v="O003"/>
    <m/>
    <n v="146"/>
    <s v="S"/>
    <n v="1533010002"/>
    <m/>
    <m/>
    <m/>
    <m/>
    <m/>
    <m/>
    <m/>
    <m/>
    <n v="-2423611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2423611"/>
    <n v="7"/>
  </r>
  <r>
    <n v="1"/>
    <s v="SA"/>
    <s v="Pago Incap"/>
    <x v="19"/>
    <d v="2025-07-31T00:00:00"/>
    <s v="PAGO INCAP"/>
    <s v="O003"/>
    <m/>
    <n v="147"/>
    <s v="S"/>
    <n v="1533010002"/>
    <m/>
    <m/>
    <m/>
    <m/>
    <m/>
    <m/>
    <m/>
    <m/>
    <n v="-1837627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1837627"/>
    <n v="7"/>
  </r>
  <r>
    <n v="1"/>
    <s v="SA"/>
    <s v="Pago Incap"/>
    <x v="19"/>
    <d v="2025-07-31T00:00:00"/>
    <s v="PAGO INCAP"/>
    <s v="O003"/>
    <m/>
    <n v="148"/>
    <s v="S"/>
    <n v="1533010002"/>
    <m/>
    <m/>
    <m/>
    <m/>
    <m/>
    <m/>
    <m/>
    <m/>
    <n v="-10323157"/>
    <s v="COP"/>
    <m/>
    <m/>
    <m/>
    <m/>
    <m/>
    <m/>
    <m/>
    <s v="O003001452"/>
    <m/>
    <m/>
    <n v="20250731"/>
    <m/>
    <m/>
    <n v="20250731"/>
    <n v="8002514406"/>
    <m/>
    <m/>
    <s v="PAGO INTERBANC EPS SANITAS S A"/>
    <m/>
    <x v="1"/>
    <n v="10323157"/>
    <n v="7"/>
  </r>
  <r>
    <n v="1"/>
    <s v="SA"/>
    <s v="Pago Incap"/>
    <x v="19"/>
    <d v="2025-07-31T00:00:00"/>
    <s v="PAGO INCAP"/>
    <s v="O003"/>
    <m/>
    <n v="149"/>
    <s v="S"/>
    <n v="1533010002"/>
    <m/>
    <m/>
    <m/>
    <m/>
    <m/>
    <m/>
    <m/>
    <m/>
    <n v="-154666"/>
    <s v="COP"/>
    <m/>
    <m/>
    <m/>
    <m/>
    <m/>
    <m/>
    <m/>
    <s v="O003001452"/>
    <m/>
    <m/>
    <n v="20250731"/>
    <m/>
    <m/>
    <n v="20250731"/>
    <n v="8000887022"/>
    <m/>
    <m/>
    <s v="PAGO DE PROV EPS SURAMERICAN"/>
    <m/>
    <x v="6"/>
    <n v="154666"/>
    <n v="7"/>
  </r>
  <r>
    <n v="1"/>
    <s v="SA"/>
    <s v="Pago Incap"/>
    <x v="19"/>
    <d v="2025-07-31T00:00:00"/>
    <s v="PAGO INCAP"/>
    <s v="O003"/>
    <m/>
    <n v="150"/>
    <s v="S"/>
    <n v="1533010002"/>
    <m/>
    <m/>
    <m/>
    <m/>
    <m/>
    <m/>
    <m/>
    <m/>
    <n v="-2346934"/>
    <s v="COP"/>
    <m/>
    <m/>
    <m/>
    <m/>
    <m/>
    <m/>
    <m/>
    <s v="O003001452"/>
    <m/>
    <m/>
    <n v="20250731"/>
    <m/>
    <m/>
    <n v="20250731"/>
    <n v="8600021839"/>
    <m/>
    <m/>
    <s v="PAGO INTERBANC AXA COLPATRIA S"/>
    <m/>
    <x v="0"/>
    <n v="2346934"/>
    <n v="7"/>
  </r>
  <r>
    <n v="1"/>
    <s v="SA"/>
    <s v="Pago Incap"/>
    <x v="19"/>
    <d v="2025-07-31T00:00:00"/>
    <s v="PAGO INCAP"/>
    <s v="O003"/>
    <m/>
    <n v="152"/>
    <s v="S"/>
    <n v="1533010002"/>
    <m/>
    <m/>
    <m/>
    <m/>
    <m/>
    <m/>
    <m/>
    <m/>
    <n v="-2750056"/>
    <s v="COP"/>
    <m/>
    <m/>
    <m/>
    <m/>
    <m/>
    <m/>
    <m/>
    <s v="O003001452"/>
    <m/>
    <m/>
    <n v="20250731"/>
    <m/>
    <m/>
    <n v="20250731"/>
    <n v="8903030935"/>
    <m/>
    <m/>
    <s v="PAGO CAJA DE COMPENSACION VALLE DEL CAUCA"/>
    <m/>
    <x v="0"/>
    <n v="2750056"/>
    <n v="7"/>
  </r>
  <r>
    <n v="1"/>
    <s v="SA"/>
    <s v="Pago Incap"/>
    <x v="19"/>
    <d v="2025-07-31T00:00:00"/>
    <s v="PAGO INCAP"/>
    <s v="O003"/>
    <m/>
    <n v="101"/>
    <s v="S"/>
    <n v="1533010002"/>
    <m/>
    <m/>
    <m/>
    <m/>
    <m/>
    <m/>
    <m/>
    <m/>
    <n v="1747700"/>
    <s v="COP"/>
    <m/>
    <m/>
    <m/>
    <m/>
    <m/>
    <m/>
    <m/>
    <s v="O003001452"/>
    <m/>
    <m/>
    <n v="20250731"/>
    <m/>
    <m/>
    <n v="20250731"/>
    <n v="8914800001"/>
    <m/>
    <m/>
    <s v="PAGO INTERBANC CAJA DE COMPENS"/>
    <m/>
    <x v="0"/>
    <n v="1747700"/>
    <n v="7"/>
  </r>
  <r>
    <n v="1"/>
    <s v="SA"/>
    <s v="Pago Incap"/>
    <x v="20"/>
    <d v="2025-08-31T00:00:00"/>
    <s v="PAGO INCAP"/>
    <s v="O003"/>
    <m/>
    <n v="74"/>
    <s v="S"/>
    <n v="1533010002"/>
    <m/>
    <m/>
    <m/>
    <m/>
    <m/>
    <m/>
    <m/>
    <m/>
    <n v="-794982"/>
    <s v="COP"/>
    <m/>
    <m/>
    <m/>
    <m/>
    <m/>
    <m/>
    <m/>
    <s v="O003001452"/>
    <m/>
    <m/>
    <n v="20250831"/>
    <m/>
    <m/>
    <n v="20250831"/>
    <n v="8301138310"/>
    <m/>
    <m/>
    <s v="PAGO DE PROV ALIANSALUD EPS"/>
    <m/>
    <x v="0"/>
    <n v="794982"/>
    <n v="8"/>
  </r>
  <r>
    <n v="1"/>
    <s v="SA"/>
    <s v="Pago Incap"/>
    <x v="20"/>
    <d v="2025-08-31T00:00:00"/>
    <s v="PAGO INCAP"/>
    <s v="O003"/>
    <m/>
    <n v="75"/>
    <s v="S"/>
    <n v="1533010002"/>
    <m/>
    <m/>
    <m/>
    <m/>
    <m/>
    <m/>
    <m/>
    <m/>
    <n v="-9831136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9831136"/>
    <n v="8"/>
  </r>
  <r>
    <n v="1"/>
    <s v="SA"/>
    <s v="Pago Incap"/>
    <x v="20"/>
    <d v="2025-08-31T00:00:00"/>
    <s v="PAGO INCAP"/>
    <s v="O003"/>
    <m/>
    <n v="76"/>
    <s v="S"/>
    <n v="1533010002"/>
    <m/>
    <m/>
    <m/>
    <m/>
    <m/>
    <m/>
    <m/>
    <m/>
    <n v="-10206631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10206631"/>
    <n v="8"/>
  </r>
  <r>
    <n v="1"/>
    <s v="SA"/>
    <s v="Pago Incap"/>
    <x v="20"/>
    <d v="2025-08-31T00:00:00"/>
    <s v="PAGO INCAP"/>
    <s v="O003"/>
    <m/>
    <n v="77"/>
    <s v="S"/>
    <n v="1533010002"/>
    <m/>
    <m/>
    <m/>
    <m/>
    <m/>
    <m/>
    <m/>
    <m/>
    <n v="-142350"/>
    <s v="COP"/>
    <m/>
    <m/>
    <m/>
    <m/>
    <m/>
    <m/>
    <m/>
    <s v="O003001452"/>
    <m/>
    <m/>
    <n v="20250831"/>
    <m/>
    <m/>
    <n v="20250831"/>
    <n v="9009142541"/>
    <m/>
    <m/>
    <s v="PAGO INTERBANC FUNDACION SALUD"/>
    <m/>
    <x v="0"/>
    <n v="142350"/>
    <n v="8"/>
  </r>
  <r>
    <n v="1"/>
    <s v="SA"/>
    <s v="Pago Incap"/>
    <x v="20"/>
    <d v="2025-08-31T00:00:00"/>
    <s v="PAGO INCAP"/>
    <s v="O003"/>
    <m/>
    <n v="78"/>
    <s v="S"/>
    <n v="1533010002"/>
    <m/>
    <m/>
    <m/>
    <m/>
    <m/>
    <m/>
    <m/>
    <m/>
    <n v="-142350"/>
    <s v="COP"/>
    <m/>
    <m/>
    <m/>
    <m/>
    <m/>
    <m/>
    <m/>
    <s v="O003001452"/>
    <m/>
    <m/>
    <n v="20250831"/>
    <m/>
    <m/>
    <n v="20250831"/>
    <n v="8060083947"/>
    <m/>
    <m/>
    <s v="PAGO DE PROV ASOCIACION MUTU"/>
    <m/>
    <x v="0"/>
    <n v="142350"/>
    <n v="8"/>
  </r>
  <r>
    <n v="1"/>
    <s v="SA"/>
    <s v="Pago Incap"/>
    <x v="20"/>
    <d v="2025-08-31T00:00:00"/>
    <s v="PAGO INCAP"/>
    <s v="O003"/>
    <m/>
    <n v="79"/>
    <s v="S"/>
    <n v="1533010002"/>
    <m/>
    <m/>
    <m/>
    <m/>
    <m/>
    <m/>
    <m/>
    <m/>
    <n v="-2113194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2113194"/>
    <n v="8"/>
  </r>
  <r>
    <n v="1"/>
    <s v="SA"/>
    <s v="Pago Incap"/>
    <x v="20"/>
    <d v="2025-08-31T00:00:00"/>
    <s v="PAGO INCAP"/>
    <s v="O003"/>
    <m/>
    <n v="80"/>
    <s v="S"/>
    <n v="1533010002"/>
    <m/>
    <m/>
    <m/>
    <m/>
    <m/>
    <m/>
    <m/>
    <m/>
    <n v="-1281150"/>
    <s v="COP"/>
    <m/>
    <m/>
    <m/>
    <m/>
    <m/>
    <m/>
    <m/>
    <s v="O003001452"/>
    <m/>
    <m/>
    <n v="20250831"/>
    <m/>
    <m/>
    <n v="20250831"/>
    <n v="8050011572"/>
    <m/>
    <m/>
    <s v="PAGO INTERBANC EPS  SOS S A"/>
    <m/>
    <x v="0"/>
    <n v="1281150"/>
    <n v="8"/>
  </r>
  <r>
    <n v="1"/>
    <s v="SA"/>
    <s v="Pago Incap"/>
    <x v="20"/>
    <d v="2025-08-31T00:00:00"/>
    <s v="PAGO INCAP"/>
    <s v="O003"/>
    <m/>
    <n v="81"/>
    <s v="S"/>
    <n v="1533010002"/>
    <m/>
    <m/>
    <m/>
    <m/>
    <m/>
    <m/>
    <m/>
    <m/>
    <n v="-2141781"/>
    <s v="COP"/>
    <m/>
    <m/>
    <m/>
    <m/>
    <m/>
    <m/>
    <m/>
    <s v="O003001452"/>
    <m/>
    <m/>
    <n v="20250831"/>
    <m/>
    <m/>
    <n v="20250831"/>
    <n v="8600021839"/>
    <m/>
    <m/>
    <s v="PAGO INTERBANC AXA COLPATRIA S"/>
    <m/>
    <x v="0"/>
    <n v="2141781"/>
    <n v="8"/>
  </r>
  <r>
    <n v="1"/>
    <s v="SA"/>
    <s v="Pago Incap"/>
    <x v="20"/>
    <d v="2025-08-31T00:00:00"/>
    <s v="PAGO INCAP"/>
    <s v="O003"/>
    <m/>
    <n v="82"/>
    <s v="S"/>
    <n v="1533010002"/>
    <m/>
    <m/>
    <m/>
    <m/>
    <m/>
    <m/>
    <m/>
    <m/>
    <n v="-189800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189800"/>
    <n v="8"/>
  </r>
  <r>
    <n v="1"/>
    <s v="SA"/>
    <s v="Pago Incap"/>
    <x v="20"/>
    <d v="2025-08-31T00:00:00"/>
    <s v="PAGO INCAP"/>
    <s v="O003"/>
    <m/>
    <n v="83"/>
    <s v="S"/>
    <n v="1533010002"/>
    <m/>
    <m/>
    <m/>
    <m/>
    <m/>
    <m/>
    <m/>
    <m/>
    <n v="-342522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342522"/>
    <n v="8"/>
  </r>
  <r>
    <n v="1"/>
    <s v="SA"/>
    <s v="Pago Incap"/>
    <x v="20"/>
    <d v="2025-08-31T00:00:00"/>
    <s v="PAGO INCAP"/>
    <s v="O003"/>
    <m/>
    <n v="84"/>
    <s v="S"/>
    <n v="1533010002"/>
    <m/>
    <m/>
    <m/>
    <m/>
    <m/>
    <m/>
    <m/>
    <m/>
    <n v="-8205395"/>
    <s v="COP"/>
    <m/>
    <m/>
    <m/>
    <m/>
    <m/>
    <m/>
    <m/>
    <s v="O003001452"/>
    <m/>
    <m/>
    <n v="20250831"/>
    <m/>
    <m/>
    <n v="20250831"/>
    <n v="8001309074"/>
    <m/>
    <m/>
    <s v="PAGO INTERBANC SALUD-TOTAL-EPS"/>
    <m/>
    <x v="0"/>
    <n v="8205395"/>
    <n v="8"/>
  </r>
  <r>
    <n v="1"/>
    <s v="SA"/>
    <s v="Pago Incap"/>
    <x v="20"/>
    <d v="2025-08-31T00:00:00"/>
    <s v="PAGO INCAP"/>
    <s v="O003"/>
    <m/>
    <n v="85"/>
    <s v="S"/>
    <n v="1533010002"/>
    <m/>
    <m/>
    <m/>
    <m/>
    <m/>
    <m/>
    <m/>
    <m/>
    <n v="-2223182"/>
    <s v="COP"/>
    <m/>
    <m/>
    <m/>
    <m/>
    <m/>
    <m/>
    <m/>
    <s v="O003001452"/>
    <m/>
    <m/>
    <n v="20250831"/>
    <m/>
    <m/>
    <n v="20250831"/>
    <n v="8600669427"/>
    <m/>
    <m/>
    <s v="PAGO INTERBANC CAJA DE COMPENS"/>
    <m/>
    <x v="4"/>
    <n v="2223182"/>
    <n v="8"/>
  </r>
  <r>
    <n v="1"/>
    <s v="SA"/>
    <s v="Pago Incap"/>
    <x v="20"/>
    <d v="2025-08-31T00:00:00"/>
    <s v="PAGO INCAP"/>
    <s v="O003"/>
    <m/>
    <n v="86"/>
    <s v="S"/>
    <n v="1533010002"/>
    <m/>
    <m/>
    <m/>
    <m/>
    <m/>
    <m/>
    <m/>
    <m/>
    <n v="-5978700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5978700"/>
    <n v="8"/>
  </r>
  <r>
    <n v="1"/>
    <s v="SA"/>
    <s v="Pago Incap"/>
    <x v="20"/>
    <d v="2025-08-31T00:00:00"/>
    <s v="PAGO INCAP"/>
    <s v="O003"/>
    <m/>
    <n v="87"/>
    <s v="S"/>
    <n v="1533010002"/>
    <m/>
    <m/>
    <m/>
    <m/>
    <m/>
    <m/>
    <m/>
    <m/>
    <n v="-47450"/>
    <s v="COP"/>
    <m/>
    <m/>
    <m/>
    <m/>
    <m/>
    <m/>
    <m/>
    <s v="O003001452"/>
    <m/>
    <m/>
    <n v="20250831"/>
    <m/>
    <m/>
    <n v="20250831"/>
    <n v="8060083947"/>
    <m/>
    <m/>
    <s v="PAGO DE PROV ASOCIACION MUTU"/>
    <m/>
    <x v="0"/>
    <n v="47450"/>
    <n v="8"/>
  </r>
  <r>
    <n v="1"/>
    <s v="SA"/>
    <s v="Pago Incap"/>
    <x v="20"/>
    <d v="2025-08-31T00:00:00"/>
    <s v="PAGO INCAP"/>
    <s v="O003"/>
    <m/>
    <n v="88"/>
    <s v="S"/>
    <n v="1533010002"/>
    <m/>
    <m/>
    <m/>
    <m/>
    <m/>
    <m/>
    <m/>
    <m/>
    <n v="-1972760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1972760"/>
    <n v="8"/>
  </r>
  <r>
    <n v="1"/>
    <s v="SA"/>
    <s v="Pago Incap"/>
    <x v="20"/>
    <d v="2025-08-31T00:00:00"/>
    <s v="PAGO INCAP"/>
    <s v="O003"/>
    <m/>
    <n v="89"/>
    <s v="S"/>
    <n v="1533010002"/>
    <m/>
    <m/>
    <m/>
    <m/>
    <m/>
    <m/>
    <m/>
    <m/>
    <n v="-5978700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5978700"/>
    <n v="8"/>
  </r>
  <r>
    <n v="1"/>
    <s v="SA"/>
    <s v="Pago Incap"/>
    <x v="20"/>
    <d v="2025-08-31T00:00:00"/>
    <s v="PAGO INCAP"/>
    <s v="O003"/>
    <m/>
    <n v="90"/>
    <s v="S"/>
    <n v="1533010002"/>
    <m/>
    <m/>
    <m/>
    <m/>
    <m/>
    <m/>
    <m/>
    <m/>
    <n v="-929153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929153"/>
    <n v="8"/>
  </r>
  <r>
    <n v="1"/>
    <s v="SA"/>
    <s v="Pago Incap"/>
    <x v="20"/>
    <d v="2025-08-31T00:00:00"/>
    <s v="PAGO INCAP"/>
    <s v="O003"/>
    <m/>
    <n v="91"/>
    <s v="S"/>
    <n v="1533010002"/>
    <m/>
    <m/>
    <m/>
    <m/>
    <m/>
    <m/>
    <m/>
    <m/>
    <n v="-82854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82854"/>
    <n v="8"/>
  </r>
  <r>
    <n v="1"/>
    <s v="SA"/>
    <s v="Pago Incap"/>
    <x v="20"/>
    <d v="2025-08-31T00:00:00"/>
    <s v="PAGO INCAP"/>
    <s v="O003"/>
    <m/>
    <n v="92"/>
    <s v="S"/>
    <n v="1533010002"/>
    <m/>
    <m/>
    <m/>
    <m/>
    <m/>
    <m/>
    <m/>
    <m/>
    <n v="-1568026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1568026"/>
    <n v="8"/>
  </r>
  <r>
    <n v="1"/>
    <s v="SA"/>
    <s v="Pago Incap"/>
    <x v="20"/>
    <d v="2025-08-31T00:00:00"/>
    <s v="PAGO INCAP"/>
    <s v="O003"/>
    <m/>
    <n v="93"/>
    <s v="S"/>
    <n v="1533010002"/>
    <m/>
    <m/>
    <m/>
    <m/>
    <m/>
    <m/>
    <m/>
    <m/>
    <n v="-11738515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11738515"/>
    <n v="8"/>
  </r>
  <r>
    <n v="1"/>
    <s v="SA"/>
    <s v="Pago Incap"/>
    <x v="20"/>
    <d v="2025-08-31T00:00:00"/>
    <s v="PAGO INCAP"/>
    <s v="O003"/>
    <m/>
    <n v="95"/>
    <s v="S"/>
    <n v="1533010002"/>
    <m/>
    <m/>
    <m/>
    <m/>
    <m/>
    <m/>
    <m/>
    <m/>
    <n v="-2845888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2845888"/>
    <n v="8"/>
  </r>
  <r>
    <n v="1"/>
    <s v="SA"/>
    <s v="Pago Incap"/>
    <x v="20"/>
    <d v="2025-08-31T00:00:00"/>
    <s v="PAGO INCAP"/>
    <s v="O003"/>
    <m/>
    <n v="96"/>
    <s v="S"/>
    <n v="1533010002"/>
    <m/>
    <m/>
    <m/>
    <m/>
    <m/>
    <m/>
    <m/>
    <m/>
    <n v="-47450"/>
    <s v="COP"/>
    <m/>
    <m/>
    <m/>
    <m/>
    <m/>
    <m/>
    <m/>
    <s v="O003001452"/>
    <m/>
    <m/>
    <n v="20250831"/>
    <m/>
    <m/>
    <n v="20250831"/>
    <n v="9009142541"/>
    <m/>
    <m/>
    <s v="PAGO INTERBANC FUNDACION SALUD"/>
    <m/>
    <x v="0"/>
    <n v="47450"/>
    <n v="8"/>
  </r>
  <r>
    <n v="1"/>
    <s v="SA"/>
    <s v="Pago Incap"/>
    <x v="20"/>
    <d v="2025-08-31T00:00:00"/>
    <s v="PAGO INCAP"/>
    <s v="O003"/>
    <m/>
    <n v="97"/>
    <s v="S"/>
    <n v="1533010002"/>
    <m/>
    <m/>
    <m/>
    <m/>
    <m/>
    <m/>
    <m/>
    <m/>
    <n v="-94900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94900"/>
    <n v="8"/>
  </r>
  <r>
    <n v="1"/>
    <s v="SA"/>
    <s v="Pago Incap"/>
    <x v="20"/>
    <d v="2025-08-31T00:00:00"/>
    <s v="PAGO INCAP"/>
    <s v="O003"/>
    <m/>
    <n v="98"/>
    <s v="S"/>
    <n v="1533010002"/>
    <m/>
    <m/>
    <m/>
    <m/>
    <m/>
    <m/>
    <m/>
    <m/>
    <n v="-3139329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3139329"/>
    <n v="8"/>
  </r>
  <r>
    <n v="1"/>
    <s v="SA"/>
    <s v="Pago Incap"/>
    <x v="20"/>
    <d v="2025-08-31T00:00:00"/>
    <s v="PAGO INCAP"/>
    <s v="O003"/>
    <m/>
    <n v="99"/>
    <s v="S"/>
    <n v="1533010002"/>
    <m/>
    <m/>
    <m/>
    <m/>
    <m/>
    <m/>
    <m/>
    <m/>
    <n v="-3759787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3759787"/>
    <n v="8"/>
  </r>
  <r>
    <n v="1"/>
    <s v="SA"/>
    <s v="Pago Incap"/>
    <x v="20"/>
    <d v="2025-08-31T00:00:00"/>
    <s v="PAGO INCAP"/>
    <s v="O003"/>
    <m/>
    <n v="100"/>
    <s v="S"/>
    <n v="1533010002"/>
    <m/>
    <m/>
    <m/>
    <m/>
    <m/>
    <m/>
    <m/>
    <m/>
    <n v="-2314661"/>
    <s v="COP"/>
    <m/>
    <m/>
    <m/>
    <m/>
    <m/>
    <m/>
    <m/>
    <s v="O003001452"/>
    <m/>
    <m/>
    <n v="20250831"/>
    <m/>
    <m/>
    <n v="20250831"/>
    <n v="8600021839"/>
    <m/>
    <m/>
    <s v="PAGO INTERBANC AXA COLPATRIA S"/>
    <m/>
    <x v="0"/>
    <n v="2314661"/>
    <n v="8"/>
  </r>
  <r>
    <n v="1"/>
    <s v="SA"/>
    <s v="Pago Incap"/>
    <x v="20"/>
    <d v="2025-08-31T00:00:00"/>
    <s v="PAGO INCAP"/>
    <s v="O003"/>
    <m/>
    <n v="101"/>
    <s v="S"/>
    <n v="1533010002"/>
    <m/>
    <m/>
    <m/>
    <m/>
    <m/>
    <m/>
    <m/>
    <m/>
    <n v="-47450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47450"/>
    <n v="8"/>
  </r>
  <r>
    <n v="1"/>
    <s v="SA"/>
    <s v="Pago Incap"/>
    <x v="20"/>
    <d v="2025-08-31T00:00:00"/>
    <s v="PAGO INCAP"/>
    <s v="O003"/>
    <m/>
    <n v="102"/>
    <s v="S"/>
    <n v="1533010002"/>
    <m/>
    <m/>
    <m/>
    <m/>
    <m/>
    <m/>
    <m/>
    <m/>
    <n v="-708100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708100"/>
    <n v="8"/>
  </r>
  <r>
    <n v="1"/>
    <s v="SA"/>
    <s v="Pago Incap"/>
    <x v="20"/>
    <d v="2025-08-31T00:00:00"/>
    <s v="PAGO INCAP"/>
    <s v="O003"/>
    <m/>
    <n v="103"/>
    <s v="S"/>
    <n v="1533010002"/>
    <m/>
    <m/>
    <m/>
    <m/>
    <m/>
    <m/>
    <m/>
    <m/>
    <n v="-47450"/>
    <s v="COP"/>
    <m/>
    <m/>
    <m/>
    <m/>
    <m/>
    <m/>
    <m/>
    <s v="O003001452"/>
    <m/>
    <m/>
    <n v="20250831"/>
    <m/>
    <m/>
    <n v="20250831"/>
    <n v="9015437615"/>
    <m/>
    <m/>
    <s v="PAGO INTERBANC EPS FAMILIAR DE"/>
    <m/>
    <x v="0"/>
    <n v="47450"/>
    <n v="8"/>
  </r>
  <r>
    <n v="1"/>
    <s v="SA"/>
    <s v="Pago Incap"/>
    <x v="20"/>
    <d v="2025-08-31T00:00:00"/>
    <s v="PAGO INCAP"/>
    <s v="O003"/>
    <m/>
    <n v="104"/>
    <s v="S"/>
    <n v="1533010002"/>
    <m/>
    <m/>
    <m/>
    <m/>
    <m/>
    <m/>
    <m/>
    <m/>
    <n v="-4096197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4096197"/>
    <n v="8"/>
  </r>
  <r>
    <n v="1"/>
    <s v="SA"/>
    <s v="Pago Incap"/>
    <x v="20"/>
    <d v="2025-08-31T00:00:00"/>
    <s v="PAGO INCAP"/>
    <s v="O003"/>
    <m/>
    <n v="105"/>
    <s v="S"/>
    <n v="1533010002"/>
    <m/>
    <m/>
    <m/>
    <m/>
    <m/>
    <m/>
    <m/>
    <m/>
    <n v="-2277600"/>
    <s v="COP"/>
    <m/>
    <m/>
    <m/>
    <m/>
    <m/>
    <m/>
    <m/>
    <s v="O003001452"/>
    <m/>
    <m/>
    <n v="20250831"/>
    <m/>
    <m/>
    <n v="20250831"/>
    <n v="8600669427"/>
    <m/>
    <m/>
    <s v="PAGO INTERBANC CAJA DE COMPENS"/>
    <m/>
    <x v="4"/>
    <n v="2277600"/>
    <n v="8"/>
  </r>
  <r>
    <n v="1"/>
    <s v="SA"/>
    <s v="Pago Incap"/>
    <x v="20"/>
    <d v="2025-08-31T00:00:00"/>
    <s v="PAGO INCAP"/>
    <s v="O003"/>
    <m/>
    <n v="106"/>
    <s v="S"/>
    <n v="1533010002"/>
    <m/>
    <m/>
    <m/>
    <m/>
    <m/>
    <m/>
    <m/>
    <m/>
    <n v="-2032876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2032876"/>
    <n v="8"/>
  </r>
  <r>
    <n v="1"/>
    <s v="SA"/>
    <s v="Pago Incap"/>
    <x v="20"/>
    <d v="2025-08-31T00:00:00"/>
    <s v="PAGO INCAP"/>
    <s v="O003"/>
    <m/>
    <n v="108"/>
    <s v="S"/>
    <n v="1533010002"/>
    <m/>
    <m/>
    <m/>
    <m/>
    <m/>
    <m/>
    <m/>
    <m/>
    <n v="-680288"/>
    <s v="COP"/>
    <m/>
    <m/>
    <m/>
    <m/>
    <m/>
    <m/>
    <m/>
    <s v="O003001452"/>
    <m/>
    <m/>
    <n v="20250831"/>
    <m/>
    <m/>
    <n v="20250831"/>
    <n v="8002492410"/>
    <m/>
    <m/>
    <s v="PAGO INTERBANC COOSALUD-ENTIDA"/>
    <m/>
    <x v="0"/>
    <n v="680288"/>
    <n v="8"/>
  </r>
  <r>
    <n v="1"/>
    <s v="SA"/>
    <s v="Pago Incap"/>
    <x v="20"/>
    <d v="2025-08-31T00:00:00"/>
    <s v="PAGO INCAP"/>
    <s v="O003"/>
    <m/>
    <n v="109"/>
    <s v="S"/>
    <n v="1533010002"/>
    <m/>
    <m/>
    <m/>
    <m/>
    <m/>
    <m/>
    <m/>
    <m/>
    <n v="-713006"/>
    <s v="COP"/>
    <m/>
    <m/>
    <m/>
    <m/>
    <m/>
    <m/>
    <m/>
    <s v="O003001452"/>
    <m/>
    <m/>
    <n v="20250831"/>
    <m/>
    <m/>
    <n v="20250831"/>
    <n v="9009142541"/>
    <m/>
    <m/>
    <s v="PAGO INTERBANC FUNDACION SALUD"/>
    <m/>
    <x v="0"/>
    <n v="713006"/>
    <n v="8"/>
  </r>
  <r>
    <n v="1"/>
    <s v="SA"/>
    <s v="Pago Incap"/>
    <x v="20"/>
    <d v="2025-08-31T00:00:00"/>
    <s v="PAGO INCAP"/>
    <s v="O003"/>
    <m/>
    <n v="110"/>
    <s v="S"/>
    <n v="1533010002"/>
    <m/>
    <m/>
    <m/>
    <m/>
    <m/>
    <m/>
    <m/>
    <m/>
    <n v="-901550"/>
    <s v="COP"/>
    <m/>
    <m/>
    <m/>
    <m/>
    <m/>
    <m/>
    <m/>
    <s v="O003001452"/>
    <m/>
    <m/>
    <n v="20250831"/>
    <m/>
    <m/>
    <n v="20250831"/>
    <n v="8600669427"/>
    <m/>
    <m/>
    <s v="PAGO INTERBANC CAJA DE COMPENS"/>
    <m/>
    <x v="4"/>
    <n v="901550"/>
    <n v="8"/>
  </r>
  <r>
    <n v="1"/>
    <s v="SA"/>
    <s v="Pago Incap"/>
    <x v="20"/>
    <d v="2025-08-31T00:00:00"/>
    <s v="PAGO INCAP"/>
    <s v="O003"/>
    <m/>
    <n v="111"/>
    <s v="S"/>
    <n v="1533010002"/>
    <m/>
    <m/>
    <m/>
    <m/>
    <m/>
    <m/>
    <m/>
    <m/>
    <n v="-8261292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8261292"/>
    <n v="8"/>
  </r>
  <r>
    <n v="1"/>
    <s v="SA"/>
    <s v="Pago Incap"/>
    <x v="20"/>
    <d v="2025-08-31T00:00:00"/>
    <s v="PAGO INCAP"/>
    <s v="O003"/>
    <m/>
    <n v="112"/>
    <s v="S"/>
    <n v="1533010002"/>
    <m/>
    <m/>
    <m/>
    <m/>
    <m/>
    <m/>
    <m/>
    <m/>
    <n v="-4002194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4002194"/>
    <n v="8"/>
  </r>
  <r>
    <n v="1"/>
    <s v="SA"/>
    <s v="Pago Incap"/>
    <x v="20"/>
    <d v="2025-08-31T00:00:00"/>
    <s v="PAGO INCAP"/>
    <s v="O003"/>
    <m/>
    <n v="113"/>
    <s v="S"/>
    <n v="1533010002"/>
    <m/>
    <m/>
    <m/>
    <m/>
    <m/>
    <m/>
    <m/>
    <m/>
    <n v="-2006171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2006171"/>
    <n v="8"/>
  </r>
  <r>
    <n v="1"/>
    <s v="SA"/>
    <s v="Pago Incap"/>
    <x v="20"/>
    <d v="2025-08-31T00:00:00"/>
    <s v="PAGO INCAP"/>
    <s v="O003"/>
    <m/>
    <n v="114"/>
    <s v="S"/>
    <n v="1533010002"/>
    <m/>
    <m/>
    <m/>
    <m/>
    <m/>
    <m/>
    <m/>
    <m/>
    <n v="-55896"/>
    <s v="COP"/>
    <m/>
    <m/>
    <m/>
    <m/>
    <m/>
    <m/>
    <m/>
    <s v="O003001452"/>
    <m/>
    <m/>
    <n v="20250831"/>
    <m/>
    <m/>
    <n v="20250831"/>
    <n v="8600669427"/>
    <m/>
    <m/>
    <s v="PAGO INTERBANC CAJA DE COMPENS"/>
    <m/>
    <x v="4"/>
    <n v="55896"/>
    <n v="8"/>
  </r>
  <r>
    <n v="1"/>
    <s v="SA"/>
    <s v="Pago Incap"/>
    <x v="20"/>
    <d v="2025-08-31T00:00:00"/>
    <s v="PAGO INCAP"/>
    <s v="O003"/>
    <m/>
    <n v="115"/>
    <s v="S"/>
    <n v="1533010002"/>
    <m/>
    <m/>
    <m/>
    <m/>
    <m/>
    <m/>
    <m/>
    <m/>
    <n v="-1411196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1411196"/>
    <n v="8"/>
  </r>
  <r>
    <n v="1"/>
    <s v="SA"/>
    <s v="Pago Incap"/>
    <x v="20"/>
    <d v="2025-08-31T00:00:00"/>
    <s v="PAGO INCAP"/>
    <s v="O003"/>
    <m/>
    <n v="116"/>
    <s v="S"/>
    <n v="1533010002"/>
    <m/>
    <m/>
    <m/>
    <m/>
    <m/>
    <m/>
    <m/>
    <m/>
    <n v="-1613300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1613300"/>
    <n v="8"/>
  </r>
  <r>
    <n v="1"/>
    <s v="SA"/>
    <s v="Pago Incap"/>
    <x v="20"/>
    <d v="2025-08-31T00:00:00"/>
    <s v="PAGO INCAP"/>
    <s v="O003"/>
    <m/>
    <n v="117"/>
    <s v="S"/>
    <n v="1533010002"/>
    <m/>
    <m/>
    <m/>
    <m/>
    <m/>
    <m/>
    <m/>
    <m/>
    <n v="-2098072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2098072"/>
    <n v="8"/>
  </r>
  <r>
    <n v="1"/>
    <s v="SA"/>
    <s v="Pago Incap"/>
    <x v="20"/>
    <d v="2025-08-31T00:00:00"/>
    <s v="PAGO INCAP"/>
    <s v="O003"/>
    <m/>
    <n v="118"/>
    <s v="S"/>
    <n v="1533010002"/>
    <m/>
    <m/>
    <m/>
    <m/>
    <m/>
    <m/>
    <m/>
    <m/>
    <n v="-152525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152525"/>
    <n v="8"/>
  </r>
  <r>
    <n v="1"/>
    <s v="SA"/>
    <s v="Pago Incap"/>
    <x v="20"/>
    <d v="2025-08-31T00:00:00"/>
    <s v="PAGO INCAP"/>
    <s v="O003"/>
    <m/>
    <n v="119"/>
    <s v="S"/>
    <n v="1533010002"/>
    <m/>
    <m/>
    <m/>
    <m/>
    <m/>
    <m/>
    <m/>
    <m/>
    <n v="-332150"/>
    <s v="COP"/>
    <m/>
    <m/>
    <m/>
    <m/>
    <m/>
    <m/>
    <m/>
    <s v="O003001452"/>
    <m/>
    <m/>
    <n v="20250831"/>
    <m/>
    <m/>
    <n v="20250831"/>
    <n v="8001309074"/>
    <m/>
    <m/>
    <s v="PAGO INTERBANC SALUD-TOTAL-EPS"/>
    <m/>
    <x v="0"/>
    <n v="332150"/>
    <n v="8"/>
  </r>
  <r>
    <n v="1"/>
    <s v="SA"/>
    <s v="Pago Incap"/>
    <x v="20"/>
    <d v="2025-08-31T00:00:00"/>
    <s v="PAGO INCAP"/>
    <s v="O003"/>
    <m/>
    <n v="120"/>
    <s v="S"/>
    <n v="1533010002"/>
    <m/>
    <m/>
    <m/>
    <m/>
    <m/>
    <m/>
    <m/>
    <m/>
    <n v="-5326678"/>
    <s v="COP"/>
    <m/>
    <m/>
    <m/>
    <m/>
    <m/>
    <m/>
    <m/>
    <s v="O003001452"/>
    <m/>
    <m/>
    <n v="20250831"/>
    <m/>
    <m/>
    <n v="20250831"/>
    <n v="8001309074"/>
    <m/>
    <m/>
    <s v="PAGO INTERBANC SALUD-TOTAL-EPS"/>
    <m/>
    <x v="0"/>
    <n v="5326678"/>
    <n v="8"/>
  </r>
  <r>
    <n v="1"/>
    <s v="SA"/>
    <s v="Pago Incap"/>
    <x v="20"/>
    <d v="2025-08-31T00:00:00"/>
    <s v="PAGO INCAP"/>
    <s v="O003"/>
    <m/>
    <n v="121"/>
    <s v="S"/>
    <n v="1533010002"/>
    <m/>
    <m/>
    <m/>
    <m/>
    <m/>
    <m/>
    <m/>
    <m/>
    <n v="-47450"/>
    <s v="COP"/>
    <m/>
    <m/>
    <m/>
    <m/>
    <m/>
    <m/>
    <m/>
    <s v="O003001452"/>
    <m/>
    <m/>
    <n v="20250831"/>
    <m/>
    <m/>
    <n v="20250831"/>
    <n v="8060083947"/>
    <m/>
    <m/>
    <s v="PAGO DE PROV ASOCIACION MUTU"/>
    <m/>
    <x v="0"/>
    <n v="47450"/>
    <n v="8"/>
  </r>
  <r>
    <n v="1"/>
    <s v="SA"/>
    <s v="Pago Incap"/>
    <x v="20"/>
    <d v="2025-08-31T00:00:00"/>
    <s v="PAGO INCAP"/>
    <s v="O003"/>
    <m/>
    <n v="122"/>
    <s v="S"/>
    <n v="1533010002"/>
    <m/>
    <m/>
    <m/>
    <m/>
    <m/>
    <m/>
    <m/>
    <m/>
    <n v="-4857752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4857752"/>
    <n v="8"/>
  </r>
  <r>
    <n v="1"/>
    <s v="SA"/>
    <s v="Pago Incap"/>
    <x v="20"/>
    <d v="2025-08-31T00:00:00"/>
    <s v="PAGO INCAP"/>
    <s v="O003"/>
    <m/>
    <n v="125"/>
    <s v="S"/>
    <n v="1533010002"/>
    <m/>
    <m/>
    <m/>
    <m/>
    <m/>
    <m/>
    <m/>
    <m/>
    <n v="-3036800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3036800"/>
    <n v="8"/>
  </r>
  <r>
    <n v="1"/>
    <s v="SA"/>
    <s v="Pago Incap"/>
    <x v="20"/>
    <d v="2025-08-31T00:00:00"/>
    <s v="PAGO INCAP"/>
    <s v="O003"/>
    <m/>
    <n v="126"/>
    <s v="S"/>
    <n v="1533010002"/>
    <m/>
    <m/>
    <m/>
    <m/>
    <m/>
    <m/>
    <m/>
    <m/>
    <n v="-2041144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2041144"/>
    <n v="8"/>
  </r>
  <r>
    <n v="1"/>
    <s v="SA"/>
    <s v="Pago Incap"/>
    <x v="20"/>
    <d v="2025-08-31T00:00:00"/>
    <s v="PAGO INCAP"/>
    <s v="O003"/>
    <m/>
    <n v="127"/>
    <s v="S"/>
    <n v="1533010002"/>
    <m/>
    <m/>
    <m/>
    <m/>
    <m/>
    <m/>
    <m/>
    <m/>
    <n v="-3936327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3936327"/>
    <n v="8"/>
  </r>
  <r>
    <n v="1"/>
    <s v="SA"/>
    <s v="Pago Incap"/>
    <x v="20"/>
    <d v="2025-08-31T00:00:00"/>
    <s v="PAGO INCAP"/>
    <s v="O003"/>
    <m/>
    <n v="128"/>
    <s v="S"/>
    <n v="1533010002"/>
    <m/>
    <m/>
    <m/>
    <m/>
    <m/>
    <m/>
    <m/>
    <m/>
    <n v="-3305116"/>
    <s v="COP"/>
    <m/>
    <m/>
    <m/>
    <m/>
    <m/>
    <m/>
    <m/>
    <s v="O003001452"/>
    <m/>
    <m/>
    <n v="20250831"/>
    <m/>
    <m/>
    <n v="20250831"/>
    <n v="8600669427"/>
    <m/>
    <m/>
    <s v="PAGO INTERBANC CAJA DE COMPENS"/>
    <m/>
    <x v="4"/>
    <n v="3305116"/>
    <n v="8"/>
  </r>
  <r>
    <n v="1"/>
    <s v="SA"/>
    <s v="Pago Incap"/>
    <x v="20"/>
    <d v="2025-08-31T00:00:00"/>
    <s v="PAGO INCAP"/>
    <s v="O003"/>
    <m/>
    <n v="129"/>
    <s v="S"/>
    <n v="1533010002"/>
    <m/>
    <m/>
    <m/>
    <m/>
    <m/>
    <m/>
    <m/>
    <m/>
    <n v="-189800"/>
    <s v="COP"/>
    <m/>
    <m/>
    <m/>
    <m/>
    <m/>
    <m/>
    <m/>
    <s v="O003001452"/>
    <m/>
    <m/>
    <n v="20250831"/>
    <m/>
    <m/>
    <n v="20250831"/>
    <n v="8140003371"/>
    <m/>
    <m/>
    <s v="PAGO INTERBANC EMSSANAR ENTIDA"/>
    <m/>
    <x v="2"/>
    <n v="189800"/>
    <n v="8"/>
  </r>
  <r>
    <n v="1"/>
    <s v="SA"/>
    <s v="Pago Incap"/>
    <x v="20"/>
    <d v="2025-08-31T00:00:00"/>
    <s v="PAGO INCAP"/>
    <s v="O003"/>
    <m/>
    <n v="130"/>
    <s v="S"/>
    <n v="1533010002"/>
    <m/>
    <m/>
    <m/>
    <m/>
    <m/>
    <m/>
    <m/>
    <m/>
    <n v="-1613300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1613300"/>
    <n v="8"/>
  </r>
  <r>
    <n v="1"/>
    <s v="SA"/>
    <s v="Pago Incap"/>
    <x v="20"/>
    <d v="2025-08-31T00:00:00"/>
    <s v="PAGO INCAP"/>
    <s v="O003"/>
    <m/>
    <n v="131"/>
    <s v="S"/>
    <n v="1533010002"/>
    <m/>
    <m/>
    <m/>
    <m/>
    <m/>
    <m/>
    <m/>
    <m/>
    <n v="-189800"/>
    <s v="COP"/>
    <m/>
    <m/>
    <m/>
    <m/>
    <m/>
    <m/>
    <m/>
    <s v="O003001452"/>
    <m/>
    <m/>
    <n v="20250831"/>
    <m/>
    <m/>
    <n v="20250831"/>
    <n v="8050011572"/>
    <m/>
    <m/>
    <s v="PAGO INTERBANC EPS  SOS S A"/>
    <m/>
    <x v="0"/>
    <n v="189800"/>
    <n v="8"/>
  </r>
  <r>
    <n v="1"/>
    <s v="SA"/>
    <s v="Pago Incap"/>
    <x v="20"/>
    <d v="2025-08-31T00:00:00"/>
    <s v="PAGO INCAP"/>
    <s v="O003"/>
    <m/>
    <n v="132"/>
    <s v="S"/>
    <n v="1533010002"/>
    <m/>
    <m/>
    <m/>
    <m/>
    <m/>
    <m/>
    <m/>
    <m/>
    <n v="-63641"/>
    <s v="COP"/>
    <m/>
    <m/>
    <m/>
    <m/>
    <m/>
    <m/>
    <m/>
    <s v="O003001452"/>
    <m/>
    <m/>
    <n v="20250831"/>
    <m/>
    <m/>
    <n v="20250831"/>
    <n v="8600021839"/>
    <m/>
    <m/>
    <s v="PAGO INTERBANC AXA COLPATRIA S"/>
    <m/>
    <x v="0"/>
    <n v="63641"/>
    <n v="8"/>
  </r>
  <r>
    <n v="1"/>
    <s v="SA"/>
    <s v="Pago Incap"/>
    <x v="20"/>
    <d v="2025-08-31T00:00:00"/>
    <s v="PAGO INCAP"/>
    <s v="O003"/>
    <m/>
    <n v="133"/>
    <s v="S"/>
    <n v="1533010002"/>
    <m/>
    <m/>
    <m/>
    <m/>
    <m/>
    <m/>
    <m/>
    <m/>
    <n v="-142350"/>
    <s v="COP"/>
    <m/>
    <m/>
    <m/>
    <m/>
    <m/>
    <m/>
    <m/>
    <s v="O003001452"/>
    <m/>
    <m/>
    <n v="20250831"/>
    <m/>
    <m/>
    <n v="20250831"/>
    <n v="8060083947"/>
    <m/>
    <m/>
    <s v="PAGO DE PROV ASOCIACION MUTU"/>
    <m/>
    <x v="0"/>
    <n v="142350"/>
    <n v="8"/>
  </r>
  <r>
    <n v="1"/>
    <s v="SA"/>
    <s v="Pago Incap"/>
    <x v="20"/>
    <d v="2025-08-31T00:00:00"/>
    <s v="PAGO INCAP"/>
    <s v="O003"/>
    <m/>
    <n v="134"/>
    <s v="S"/>
    <n v="1533010002"/>
    <m/>
    <m/>
    <m/>
    <m/>
    <m/>
    <m/>
    <m/>
    <m/>
    <n v="-2182700"/>
    <s v="COP"/>
    <m/>
    <m/>
    <m/>
    <m/>
    <m/>
    <m/>
    <m/>
    <s v="O003001452"/>
    <m/>
    <m/>
    <n v="20250831"/>
    <m/>
    <m/>
    <n v="20250831"/>
    <n v="8000887022"/>
    <m/>
    <m/>
    <s v="PAGO DE PROV EPS SURAMERICAN"/>
    <m/>
    <x v="6"/>
    <n v="2182700"/>
    <n v="8"/>
  </r>
  <r>
    <n v="1"/>
    <s v="SA"/>
    <s v="Pago Incap"/>
    <x v="20"/>
    <d v="2025-08-31T00:00:00"/>
    <s v="PAGO INCAP"/>
    <s v="O003"/>
    <m/>
    <n v="135"/>
    <s v="S"/>
    <n v="1533010002"/>
    <m/>
    <m/>
    <m/>
    <m/>
    <m/>
    <m/>
    <m/>
    <m/>
    <n v="-3064754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3064754"/>
    <n v="8"/>
  </r>
  <r>
    <n v="1"/>
    <s v="SA"/>
    <s v="Pago Incap"/>
    <x v="20"/>
    <d v="2025-08-31T00:00:00"/>
    <s v="PAGO INCAP"/>
    <s v="O003"/>
    <m/>
    <n v="136"/>
    <s v="S"/>
    <n v="1533010002"/>
    <m/>
    <m/>
    <m/>
    <m/>
    <m/>
    <m/>
    <m/>
    <m/>
    <n v="-457419"/>
    <s v="COP"/>
    <m/>
    <m/>
    <m/>
    <m/>
    <m/>
    <m/>
    <m/>
    <s v="O003001452"/>
    <m/>
    <m/>
    <n v="20250831"/>
    <m/>
    <m/>
    <n v="20250831"/>
    <n v="8600021839"/>
    <m/>
    <m/>
    <s v="PAGO INTERBANC AXA COLPATRIA S"/>
    <m/>
    <x v="0"/>
    <n v="457419"/>
    <n v="8"/>
  </r>
  <r>
    <n v="1"/>
    <s v="SA"/>
    <s v="Pago Incap"/>
    <x v="20"/>
    <d v="2025-08-31T00:00:00"/>
    <s v="PAGO INCAP"/>
    <s v="O003"/>
    <m/>
    <n v="137"/>
    <s v="S"/>
    <n v="1533010002"/>
    <m/>
    <m/>
    <m/>
    <m/>
    <m/>
    <m/>
    <m/>
    <m/>
    <n v="-4213661"/>
    <s v="COP"/>
    <m/>
    <m/>
    <m/>
    <m/>
    <m/>
    <m/>
    <m/>
    <s v="O003001452"/>
    <m/>
    <m/>
    <n v="20250831"/>
    <m/>
    <m/>
    <n v="20250831"/>
    <n v="8301138310"/>
    <m/>
    <m/>
    <s v="PAGO DE PROV ALIANSALUD EPS"/>
    <m/>
    <x v="0"/>
    <n v="4213661"/>
    <n v="8"/>
  </r>
  <r>
    <n v="1"/>
    <s v="SA"/>
    <s v="Pago Incap"/>
    <x v="20"/>
    <d v="2025-08-31T00:00:00"/>
    <s v="PAGO INCAP"/>
    <s v="O003"/>
    <m/>
    <n v="138"/>
    <s v="S"/>
    <n v="1533010002"/>
    <m/>
    <m/>
    <m/>
    <m/>
    <m/>
    <m/>
    <m/>
    <m/>
    <n v="-569400"/>
    <s v="COP"/>
    <m/>
    <m/>
    <m/>
    <m/>
    <m/>
    <m/>
    <m/>
    <s v="O003001452"/>
    <m/>
    <m/>
    <n v="20250831"/>
    <m/>
    <m/>
    <n v="20250831"/>
    <n v="8600669427"/>
    <m/>
    <m/>
    <s v="PAGO INTERBANC CAJA DE COMPENS"/>
    <m/>
    <x v="4"/>
    <n v="569400"/>
    <n v="8"/>
  </r>
  <r>
    <n v="1"/>
    <s v="SA"/>
    <s v="Pago Incap"/>
    <x v="20"/>
    <d v="2025-08-31T00:00:00"/>
    <s v="PAGO INCAP"/>
    <s v="O003"/>
    <m/>
    <n v="139"/>
    <s v="S"/>
    <n v="1533010002"/>
    <m/>
    <m/>
    <m/>
    <m/>
    <m/>
    <m/>
    <m/>
    <m/>
    <n v="-1518400"/>
    <s v="COP"/>
    <m/>
    <m/>
    <m/>
    <m/>
    <m/>
    <m/>
    <m/>
    <s v="O003001452"/>
    <m/>
    <m/>
    <n v="20250831"/>
    <m/>
    <m/>
    <n v="20250831"/>
    <n v="9001562642"/>
    <m/>
    <m/>
    <s v="PAGO DE PROV NUEVA EMPRESA P"/>
    <m/>
    <x v="5"/>
    <n v="1518400"/>
    <n v="8"/>
  </r>
  <r>
    <n v="1"/>
    <s v="SA"/>
    <s v="Pago Incap"/>
    <x v="20"/>
    <d v="2025-08-31T00:00:00"/>
    <s v="PAGO INCAP"/>
    <s v="O003"/>
    <m/>
    <n v="140"/>
    <s v="S"/>
    <n v="1533010002"/>
    <m/>
    <m/>
    <m/>
    <m/>
    <m/>
    <m/>
    <m/>
    <m/>
    <n v="-448985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448985"/>
    <n v="8"/>
  </r>
  <r>
    <n v="1"/>
    <s v="SA"/>
    <s v="Pago Incap"/>
    <x v="20"/>
    <d v="2025-08-31T00:00:00"/>
    <s v="PAGO INCAP"/>
    <s v="O003"/>
    <m/>
    <n v="141"/>
    <s v="S"/>
    <n v="1533010002"/>
    <m/>
    <m/>
    <m/>
    <m/>
    <m/>
    <m/>
    <m/>
    <m/>
    <n v="-1423500"/>
    <s v="COP"/>
    <m/>
    <m/>
    <m/>
    <m/>
    <m/>
    <m/>
    <m/>
    <s v="O003001452"/>
    <m/>
    <m/>
    <n v="20250831"/>
    <m/>
    <m/>
    <n v="20250831"/>
    <n v="8002492410"/>
    <m/>
    <m/>
    <s v="PAGO INTERBANC COOSALUD-ENTIDA"/>
    <m/>
    <x v="0"/>
    <n v="1423500"/>
    <n v="8"/>
  </r>
  <r>
    <n v="1"/>
    <s v="SA"/>
    <s v="Pago Incap"/>
    <x v="20"/>
    <d v="2025-08-31T00:00:00"/>
    <s v="PAGO INCAP"/>
    <s v="O003"/>
    <m/>
    <n v="142"/>
    <s v="S"/>
    <n v="1533010002"/>
    <m/>
    <m/>
    <m/>
    <m/>
    <m/>
    <m/>
    <m/>
    <m/>
    <n v="-47450"/>
    <s v="COP"/>
    <m/>
    <m/>
    <m/>
    <m/>
    <m/>
    <m/>
    <m/>
    <s v="O003001452"/>
    <m/>
    <m/>
    <n v="20250831"/>
    <m/>
    <m/>
    <n v="20250831"/>
    <n v="8002492410"/>
    <m/>
    <m/>
    <s v="PAGO INTERBANC COOSALUD-ENTIDA"/>
    <m/>
    <x v="0"/>
    <n v="47450"/>
    <n v="8"/>
  </r>
  <r>
    <n v="1"/>
    <s v="SA"/>
    <s v="Pago Incap"/>
    <x v="20"/>
    <d v="2025-08-31T00:00:00"/>
    <s v="PAGO INCAP"/>
    <s v="O003"/>
    <m/>
    <n v="143"/>
    <s v="S"/>
    <n v="1533010002"/>
    <m/>
    <m/>
    <m/>
    <m/>
    <m/>
    <m/>
    <m/>
    <m/>
    <n v="-2482953"/>
    <s v="COP"/>
    <m/>
    <m/>
    <m/>
    <m/>
    <m/>
    <m/>
    <m/>
    <s v="O003001452"/>
    <m/>
    <m/>
    <n v="20250831"/>
    <m/>
    <m/>
    <n v="20250831"/>
    <n v="8300035647"/>
    <m/>
    <m/>
    <s v="PAGO INTERBANC EPS FAMISANAR S"/>
    <m/>
    <x v="3"/>
    <n v="2482953"/>
    <n v="8"/>
  </r>
  <r>
    <n v="1"/>
    <s v="SA"/>
    <s v="Pago Incap"/>
    <x v="20"/>
    <d v="2025-08-31T00:00:00"/>
    <s v="PAGO INCAP"/>
    <s v="O003"/>
    <m/>
    <n v="144"/>
    <s v="S"/>
    <n v="1533010002"/>
    <m/>
    <m/>
    <m/>
    <m/>
    <m/>
    <m/>
    <m/>
    <m/>
    <n v="-1328600"/>
    <s v="COP"/>
    <m/>
    <m/>
    <m/>
    <m/>
    <m/>
    <m/>
    <m/>
    <s v="O003001452"/>
    <m/>
    <m/>
    <n v="20250831"/>
    <m/>
    <m/>
    <n v="20250831"/>
    <n v="8002492410"/>
    <m/>
    <m/>
    <s v="PAGO INTERBANC COOSALUD-ENTIDA"/>
    <m/>
    <x v="0"/>
    <n v="1328600"/>
    <n v="8"/>
  </r>
  <r>
    <n v="1"/>
    <s v="SA"/>
    <s v="Pago Incap"/>
    <x v="20"/>
    <d v="2025-08-31T00:00:00"/>
    <s v="PAGO INCAP"/>
    <s v="O003"/>
    <m/>
    <n v="145"/>
    <s v="S"/>
    <n v="1533010002"/>
    <m/>
    <m/>
    <m/>
    <m/>
    <m/>
    <m/>
    <m/>
    <m/>
    <n v="-1423500"/>
    <s v="COP"/>
    <m/>
    <m/>
    <m/>
    <m/>
    <m/>
    <m/>
    <m/>
    <s v="O003001452"/>
    <m/>
    <m/>
    <n v="20250831"/>
    <m/>
    <m/>
    <n v="20250831"/>
    <n v="8002492410"/>
    <m/>
    <m/>
    <s v="PAGO INTERBANC COOSALUD-ENTIDA"/>
    <m/>
    <x v="0"/>
    <n v="1423500"/>
    <n v="8"/>
  </r>
  <r>
    <n v="1"/>
    <s v="SA"/>
    <s v="Pago Incap"/>
    <x v="20"/>
    <d v="2025-08-31T00:00:00"/>
    <s v="PAGO INCAP"/>
    <s v="O003"/>
    <m/>
    <n v="146"/>
    <s v="S"/>
    <n v="1533010002"/>
    <m/>
    <m/>
    <m/>
    <m/>
    <m/>
    <m/>
    <m/>
    <m/>
    <n v="-7325116"/>
    <s v="COP"/>
    <m/>
    <m/>
    <m/>
    <m/>
    <m/>
    <m/>
    <m/>
    <s v="O003001452"/>
    <m/>
    <m/>
    <n v="20250831"/>
    <m/>
    <m/>
    <n v="20250831"/>
    <n v="8002514406"/>
    <m/>
    <m/>
    <s v="PAGO INTERBANC EPS SANITAS S A"/>
    <m/>
    <x v="1"/>
    <n v="7325116"/>
    <n v="8"/>
  </r>
  <r>
    <n v="1"/>
    <s v="SA"/>
    <s v="Pago Incap"/>
    <x v="21"/>
    <d v="2025-09-30T00:00:00"/>
    <s v="PAGO INCAP"/>
    <s v="O003"/>
    <m/>
    <n v="617"/>
    <s v="S"/>
    <n v="1533010002"/>
    <m/>
    <m/>
    <m/>
    <m/>
    <m/>
    <m/>
    <m/>
    <m/>
    <n v="-295802141"/>
    <s v="COP"/>
    <m/>
    <m/>
    <m/>
    <m/>
    <m/>
    <m/>
    <m/>
    <s v="O003001452"/>
    <m/>
    <m/>
    <n v="20250930"/>
    <m/>
    <m/>
    <n v="20250930"/>
    <n v="8000887022"/>
    <m/>
    <m/>
    <s v="PAGO DE PROV EPS SURAMERICAN"/>
    <m/>
    <x v="7"/>
    <n v="295802141"/>
    <n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5460000"/>
    <d v="2025-02-01T00:00:00"/>
    <m/>
  </r>
  <r>
    <x v="1"/>
    <n v="13302223"/>
    <d v="2023-10-01T00:00:00"/>
    <m/>
  </r>
  <r>
    <x v="1"/>
    <n v="3573000"/>
    <d v="2023-12-01T00:00:00"/>
    <m/>
  </r>
  <r>
    <x v="1"/>
    <n v="57177"/>
    <d v="2025-03-31T00:00:00"/>
    <m/>
  </r>
  <r>
    <x v="1"/>
    <n v="256234"/>
    <s v="enero"/>
    <m/>
  </r>
  <r>
    <x v="2"/>
    <n v="9037356"/>
    <d v="2023-09-01T00:00:00"/>
    <m/>
  </r>
  <r>
    <x v="3"/>
    <n v="580000"/>
    <d v="2025-01-30T00:00:00"/>
    <m/>
  </r>
  <r>
    <x v="3"/>
    <n v="696000"/>
    <d v="2024-03-01T00:00:00"/>
    <m/>
  </r>
  <r>
    <x v="3"/>
    <n v="1237334"/>
    <d v="2023-12-01T00:00:00"/>
    <m/>
  </r>
  <r>
    <x v="4"/>
    <n v="41238"/>
    <d v="2025-04-11T00:00:00"/>
    <s v="occi"/>
  </r>
  <r>
    <x v="4"/>
    <n v="630385"/>
    <d v="2024-11-01T00:00:00"/>
    <s v="Conciliacion Yen "/>
  </r>
  <r>
    <x v="4"/>
    <n v="33449"/>
    <d v="2025-02-27T00:00:00"/>
    <s v="occi"/>
  </r>
  <r>
    <x v="4"/>
    <n v="1340320"/>
    <d v="2023-10-01T00:00:00"/>
    <m/>
  </r>
  <r>
    <x v="5"/>
    <n v="37819"/>
    <d v="2024-11-01T00:00:00"/>
    <m/>
  </r>
  <r>
    <x v="5"/>
    <n v="11152100"/>
    <d v="2023-10-01T00:00:00"/>
    <m/>
  </r>
  <r>
    <x v="6"/>
    <n v="650000"/>
    <d v="2024-11-01T00:00:00"/>
    <m/>
  </r>
  <r>
    <x v="6"/>
    <n v="88951"/>
    <d v="2024-12-01T00:00:00"/>
    <m/>
  </r>
  <r>
    <x v="7"/>
    <n v="77334"/>
    <d v="2024-03-01T00:00:00"/>
    <m/>
  </r>
  <r>
    <x v="8"/>
    <n v="866667"/>
    <d v="2025-01-01T00:00:00"/>
    <m/>
  </r>
  <r>
    <x v="8"/>
    <n v="3476318"/>
    <d v="2024-03-01T00:00:00"/>
    <m/>
  </r>
  <r>
    <x v="8"/>
    <n v="1037794"/>
    <d v="2024-06-01T00:00:00"/>
    <m/>
  </r>
  <r>
    <x v="9"/>
    <n v="123017"/>
    <d v="2025-01-01T00:00:00"/>
    <m/>
  </r>
  <r>
    <x v="9"/>
    <n v="142350"/>
    <d v="2025-09-10T00:00:00"/>
    <s v="BANCOLOMBIA 3"/>
  </r>
  <r>
    <x v="9"/>
    <n v="47450"/>
    <d v="2025-09-10T00:00:00"/>
    <s v="BANCOLOMBIA 3"/>
  </r>
  <r>
    <x v="9"/>
    <n v="47450"/>
    <d v="2025-09-10T00:00:00"/>
    <s v="BANCOLOMBIA 3"/>
  </r>
  <r>
    <x v="10"/>
    <n v="47450"/>
    <d v="2025-08-25T00:00:00"/>
    <s v="BANCOLOMBIA 4"/>
  </r>
  <r>
    <x v="10"/>
    <n v="332150"/>
    <d v="2025-08-28T00:00:00"/>
    <s v="BANCOLOMBIA 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8" cacheId="1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118:E130" firstHeaderRow="1" firstDataRow="1" firstDataCol="1"/>
  <pivotFields count="4">
    <pivotField axis="axisRow" showAll="0">
      <items count="13">
        <item x="0"/>
        <item x="1"/>
        <item x="10"/>
        <item x="2"/>
        <item x="3"/>
        <item x="4"/>
        <item x="5"/>
        <item x="6"/>
        <item x="7"/>
        <item x="8"/>
        <item x="9"/>
        <item m="1" x="11"/>
        <item t="default"/>
      </items>
    </pivotField>
    <pivotField dataField="1" numFmtId="167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Valor" fld="1" baseField="0" baseItem="0" numFmtId="43"/>
  </dataFields>
  <formats count="2">
    <format dxfId="439">
      <pivotArea outline="0" collapsedLevelsAreSubtotals="1" fieldPosition="0"/>
    </format>
    <format dxfId="4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Dinámica5" cacheId="12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C164:D171" firstHeaderRow="1" firstDataRow="1" firstDataCol="1" rowPageCount="1" colPageCount="1"/>
  <pivotFields count="11"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8"/>
        <item m="1" x="7"/>
        <item x="0"/>
        <item x="1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9">
        <item m="1" x="7"/>
        <item x="0"/>
        <item m="1" x="8"/>
        <item x="1"/>
        <item x="3"/>
        <item x="2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ageFields count="1">
    <pageField fld="9" hier="-1"/>
  </pageFields>
  <dataFields count="1">
    <dataField name="Suma de SALDO CONTABLE POR MES" fld="9" baseField="0" baseItem="0"/>
  </dataFields>
  <formats count="36">
    <format dxfId="299">
      <pivotArea type="all" dataOnly="0" outline="0" fieldPosition="0"/>
    </format>
    <format dxfId="298">
      <pivotArea field="0" type="button" dataOnly="0" labelOnly="1" outline="0" axis="axisRow" fieldPosition="0"/>
    </format>
    <format dxfId="297">
      <pivotArea field="1" type="button" dataOnly="0" labelOnly="1" outline="0"/>
    </format>
    <format dxfId="296">
      <pivotArea field="2" type="button" dataOnly="0" labelOnly="1" outline="0"/>
    </format>
    <format dxfId="295">
      <pivotArea field="3" type="button" dataOnly="0" labelOnly="1" outline="0"/>
    </format>
    <format dxfId="294">
      <pivotArea field="4" type="button" dataOnly="0" labelOnly="1" outline="0"/>
    </format>
    <format dxfId="293">
      <pivotArea field="5" type="button" dataOnly="0" labelOnly="1" outline="0"/>
    </format>
    <format dxfId="292">
      <pivotArea field="6" type="button" dataOnly="0" labelOnly="1" outline="0"/>
    </format>
    <format dxfId="291">
      <pivotArea field="7" type="button" dataOnly="0" labelOnly="1" outline="0"/>
    </format>
    <format dxfId="290">
      <pivotArea type="all" dataOnly="0" outline="0" fieldPosition="0"/>
    </format>
    <format dxfId="289">
      <pivotArea field="0" type="button" dataOnly="0" labelOnly="1" outline="0" axis="axisRow" fieldPosition="0"/>
    </format>
    <format dxfId="288">
      <pivotArea field="1" type="button" dataOnly="0" labelOnly="1" outline="0"/>
    </format>
    <format dxfId="287">
      <pivotArea field="2" type="button" dataOnly="0" labelOnly="1" outline="0"/>
    </format>
    <format dxfId="286">
      <pivotArea field="3" type="button" dataOnly="0" labelOnly="1" outline="0"/>
    </format>
    <format dxfId="285">
      <pivotArea field="4" type="button" dataOnly="0" labelOnly="1" outline="0"/>
    </format>
    <format dxfId="284">
      <pivotArea field="5" type="button" dataOnly="0" labelOnly="1" outline="0"/>
    </format>
    <format dxfId="283">
      <pivotArea field="6" type="button" dataOnly="0" labelOnly="1" outline="0"/>
    </format>
    <format dxfId="282">
      <pivotArea field="7" type="button" dataOnly="0" labelOnly="1" outline="0"/>
    </format>
    <format dxfId="281">
      <pivotArea type="all" dataOnly="0" outline="0" fieldPosition="0"/>
    </format>
    <format dxfId="280">
      <pivotArea field="0" type="button" dataOnly="0" labelOnly="1" outline="0" axis="axisRow" fieldPosition="0"/>
    </format>
    <format dxfId="279">
      <pivotArea field="1" type="button" dataOnly="0" labelOnly="1" outline="0"/>
    </format>
    <format dxfId="278">
      <pivotArea field="2" type="button" dataOnly="0" labelOnly="1" outline="0"/>
    </format>
    <format dxfId="277">
      <pivotArea field="3" type="button" dataOnly="0" labelOnly="1" outline="0"/>
    </format>
    <format dxfId="276">
      <pivotArea field="4" type="button" dataOnly="0" labelOnly="1" outline="0"/>
    </format>
    <format dxfId="275">
      <pivotArea field="5" type="button" dataOnly="0" labelOnly="1" outline="0"/>
    </format>
    <format dxfId="274">
      <pivotArea field="6" type="button" dataOnly="0" labelOnly="1" outline="0"/>
    </format>
    <format dxfId="273">
      <pivotArea field="7" type="button" dataOnly="0" labelOnly="1" outline="0"/>
    </format>
    <format dxfId="272">
      <pivotArea type="all" dataOnly="0" outline="0" fieldPosition="0"/>
    </format>
    <format dxfId="271">
      <pivotArea field="0" type="button" dataOnly="0" labelOnly="1" outline="0" axis="axisRow" fieldPosition="0"/>
    </format>
    <format dxfId="270">
      <pivotArea field="1" type="button" dataOnly="0" labelOnly="1" outline="0"/>
    </format>
    <format dxfId="269">
      <pivotArea field="2" type="button" dataOnly="0" labelOnly="1" outline="0"/>
    </format>
    <format dxfId="268">
      <pivotArea field="3" type="button" dataOnly="0" labelOnly="1" outline="0"/>
    </format>
    <format dxfId="267">
      <pivotArea field="4" type="button" dataOnly="0" labelOnly="1" outline="0"/>
    </format>
    <format dxfId="266">
      <pivotArea field="5" type="button" dataOnly="0" labelOnly="1" outline="0"/>
    </format>
    <format dxfId="265">
      <pivotArea field="6" type="button" dataOnly="0" labelOnly="1" outline="0"/>
    </format>
    <format dxfId="264">
      <pivotArea field="7" type="button" dataOnly="0" labelOnly="1" outline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2" cacheId="14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0">
  <location ref="C193:E206" firstHeaderRow="1" firstDataRow="2" firstDataCol="1"/>
  <pivotFields count="45"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8">
        <item x="0"/>
        <item x="4"/>
        <item x="2"/>
        <item x="6"/>
        <item x="3"/>
        <item x="5"/>
        <item x="1"/>
        <item x="7"/>
      </items>
    </pivotField>
    <pivotField dataField="1" compact="0" numFmtId="167" outline="0" showAll="0" defaultSubtotal="0"/>
    <pivotField compact="0" outline="0" multipleItemSelectionAllowed="1" showAll="0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compact="0" outline="0" showAll="0" defaultSubtotal="0">
      <items count="4">
        <item sd="0" x="0"/>
        <item sd="0" x="1"/>
        <item sd="0" x="2"/>
        <item x="3"/>
      </items>
    </pivotField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44"/>
  </colFields>
  <colItems count="2">
    <i>
      <x v="1"/>
    </i>
    <i>
      <x v="2"/>
    </i>
  </colItems>
  <dataFields count="1">
    <dataField name="Suma de Valor" fld="41" baseField="0" baseItem="0" numFmtId="173"/>
  </dataFields>
  <formats count="8">
    <format dxfId="307">
      <pivotArea outline="0" collapsedLevelsAreSubtotals="1" fieldPosition="0"/>
    </format>
    <format dxfId="306">
      <pivotArea field="3" type="button" dataOnly="0" labelOnly="1" outline="0" axis="axisRow" fieldPosition="0"/>
    </format>
    <format dxfId="305">
      <pivotArea dataOnly="0" labelOnly="1" grandCol="1" outline="0" fieldPosition="0"/>
    </format>
    <format dxfId="304">
      <pivotArea outline="0" collapsedLevelsAreSubtotals="1" fieldPosition="0"/>
    </format>
    <format dxfId="303">
      <pivotArea field="3" type="button" dataOnly="0" labelOnly="1" outline="0" axis="axisRow" fieldPosition="0"/>
    </format>
    <format dxfId="302">
      <pivotArea dataOnly="0" labelOnly="1" grandCol="1" outline="0" fieldPosition="0"/>
    </format>
    <format dxfId="301">
      <pivotArea outline="0" collapsedLevelsAreSubtotals="1" fieldPosition="0"/>
    </format>
    <format dxfId="300">
      <pivotArea outline="0" collapsedLevelsAreSubtotals="1" fieldPosition="0"/>
    </format>
  </formats>
  <chartFormats count="12"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1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2"/>
          </reference>
        </references>
      </pivotArea>
    </chartFormat>
    <chartFormat chart="9" format="86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1"/>
          </reference>
        </references>
      </pivotArea>
    </chartFormat>
    <chartFormat chart="9" format="8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4" count="1" selected="0">
            <x v="1"/>
          </reference>
        </references>
      </pivotArea>
    </chartFormat>
    <chartFormat chart="9" format="8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4" count="1" selected="0">
            <x v="1"/>
          </reference>
        </references>
      </pivotArea>
    </chartFormat>
    <chartFormat chart="9" format="89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44" count="1" selected="0">
            <x v="1"/>
          </reference>
        </references>
      </pivotArea>
    </chartFormat>
    <chartFormat chart="9" format="9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4" count="1" selected="0">
            <x v="1"/>
          </reference>
        </references>
      </pivotArea>
    </chartFormat>
    <chartFormat chart="9" format="9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44" count="1" selected="0">
            <x v="1"/>
          </reference>
        </references>
      </pivotArea>
    </chartFormat>
    <chartFormat chart="9" format="92" series="1">
      <pivotArea type="data" outline="0" fieldPosition="0">
        <references count="2">
          <reference field="4294967294" count="1" selected="0">
            <x v="0"/>
          </reference>
          <reference field="44" count="1" selected="0">
            <x v="2"/>
          </reference>
        </references>
      </pivotArea>
    </chartFormat>
    <chartFormat chart="9" format="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4" count="1" selected="0">
            <x v="2"/>
          </reference>
        </references>
      </pivotArea>
    </chartFormat>
    <chartFormat chart="9" format="9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4" count="1" selected="0">
            <x v="2"/>
          </reference>
        </references>
      </pivotArea>
    </chartFormat>
    <chartFormat chart="9" format="95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4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laDinámica1" cacheId="12" applyNumberFormats="0" applyBorderFormats="0" applyFontFormats="0" applyPatternFormats="0" applyAlignmentFormats="0" applyWidthHeightFormats="1" dataCaption="Valores" showError="1" updatedVersion="6" minRefreshableVersion="3" useAutoFormatting="1" rowGrandTotals="0" colGrandTotals="0" itemPrintTitles="1" createdVersion="6" indent="0" compact="0" compactData="0" chartFormat="4">
  <location ref="C120:D127" firstHeaderRow="1" firstDataRow="1" firstDataCol="1" rowPageCount="1" colPageCount="1"/>
  <pivotFields count="11"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8"/>
        <item m="1" x="7"/>
        <item x="0"/>
        <item x="1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8">
        <item m="1" x="6"/>
        <item m="1" x="7"/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ageFields count="1">
    <pageField fld="8" hier="-1"/>
  </pageFields>
  <dataFields count="1">
    <dataField name="Suma de RECAUDO" fld="8" baseField="0" baseItem="2" numFmtId="173"/>
  </dataFields>
  <formats count="37">
    <format dxfId="344">
      <pivotArea type="all" dataOnly="0" outline="0" fieldPosition="0"/>
    </format>
    <format dxfId="343">
      <pivotArea field="0" type="button" dataOnly="0" labelOnly="1" outline="0" axis="axisRow" fieldPosition="0"/>
    </format>
    <format dxfId="342">
      <pivotArea field="1" type="button" dataOnly="0" labelOnly="1" outline="0"/>
    </format>
    <format dxfId="341">
      <pivotArea field="2" type="button" dataOnly="0" labelOnly="1" outline="0"/>
    </format>
    <format dxfId="340">
      <pivotArea field="3" type="button" dataOnly="0" labelOnly="1" outline="0"/>
    </format>
    <format dxfId="339">
      <pivotArea field="4" type="button" dataOnly="0" labelOnly="1" outline="0"/>
    </format>
    <format dxfId="338">
      <pivotArea field="5" type="button" dataOnly="0" labelOnly="1" outline="0"/>
    </format>
    <format dxfId="337">
      <pivotArea field="6" type="button" dataOnly="0" labelOnly="1" outline="0"/>
    </format>
    <format dxfId="336">
      <pivotArea field="7" type="button" dataOnly="0" labelOnly="1" outline="0"/>
    </format>
    <format dxfId="335">
      <pivotArea type="all" dataOnly="0" outline="0" fieldPosition="0"/>
    </format>
    <format dxfId="334">
      <pivotArea field="0" type="button" dataOnly="0" labelOnly="1" outline="0" axis="axisRow" fieldPosition="0"/>
    </format>
    <format dxfId="333">
      <pivotArea field="1" type="button" dataOnly="0" labelOnly="1" outline="0"/>
    </format>
    <format dxfId="332">
      <pivotArea field="2" type="button" dataOnly="0" labelOnly="1" outline="0"/>
    </format>
    <format dxfId="331">
      <pivotArea field="3" type="button" dataOnly="0" labelOnly="1" outline="0"/>
    </format>
    <format dxfId="330">
      <pivotArea field="4" type="button" dataOnly="0" labelOnly="1" outline="0"/>
    </format>
    <format dxfId="329">
      <pivotArea field="5" type="button" dataOnly="0" labelOnly="1" outline="0"/>
    </format>
    <format dxfId="328">
      <pivotArea field="6" type="button" dataOnly="0" labelOnly="1" outline="0"/>
    </format>
    <format dxfId="327">
      <pivotArea field="7" type="button" dataOnly="0" labelOnly="1" outline="0"/>
    </format>
    <format dxfId="326">
      <pivotArea type="all" dataOnly="0" outline="0" fieldPosition="0"/>
    </format>
    <format dxfId="325">
      <pivotArea field="0" type="button" dataOnly="0" labelOnly="1" outline="0" axis="axisRow" fieldPosition="0"/>
    </format>
    <format dxfId="324">
      <pivotArea field="1" type="button" dataOnly="0" labelOnly="1" outline="0"/>
    </format>
    <format dxfId="323">
      <pivotArea field="2" type="button" dataOnly="0" labelOnly="1" outline="0"/>
    </format>
    <format dxfId="322">
      <pivotArea field="3" type="button" dataOnly="0" labelOnly="1" outline="0"/>
    </format>
    <format dxfId="321">
      <pivotArea field="4" type="button" dataOnly="0" labelOnly="1" outline="0"/>
    </format>
    <format dxfId="320">
      <pivotArea field="5" type="button" dataOnly="0" labelOnly="1" outline="0"/>
    </format>
    <format dxfId="319">
      <pivotArea field="6" type="button" dataOnly="0" labelOnly="1" outline="0"/>
    </format>
    <format dxfId="318">
      <pivotArea field="7" type="button" dataOnly="0" labelOnly="1" outline="0"/>
    </format>
    <format dxfId="317">
      <pivotArea type="all" dataOnly="0" outline="0" fieldPosition="0"/>
    </format>
    <format dxfId="316">
      <pivotArea field="0" type="button" dataOnly="0" labelOnly="1" outline="0" axis="axisRow" fieldPosition="0"/>
    </format>
    <format dxfId="315">
      <pivotArea field="1" type="button" dataOnly="0" labelOnly="1" outline="0"/>
    </format>
    <format dxfId="314">
      <pivotArea field="2" type="button" dataOnly="0" labelOnly="1" outline="0"/>
    </format>
    <format dxfId="313">
      <pivotArea field="3" type="button" dataOnly="0" labelOnly="1" outline="0"/>
    </format>
    <format dxfId="312">
      <pivotArea field="4" type="button" dataOnly="0" labelOnly="1" outline="0"/>
    </format>
    <format dxfId="311">
      <pivotArea field="5" type="button" dataOnly="0" labelOnly="1" outline="0"/>
    </format>
    <format dxfId="310">
      <pivotArea field="6" type="button" dataOnly="0" labelOnly="1" outline="0"/>
    </format>
    <format dxfId="309">
      <pivotArea field="7" type="button" dataOnly="0" labelOnly="1" outline="0"/>
    </format>
    <format dxfId="308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Dinámica3" cacheId="12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C98:J105" firstHeaderRow="1" firstDataRow="1" firstDataCol="8"/>
  <pivotFields count="11"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8"/>
        <item m="1" x="7"/>
        <item x="0"/>
        <item x="1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2"/>
    <field x="3"/>
    <field x="4"/>
    <field x="5"/>
    <field x="6"/>
    <field x="7"/>
  </rowFields>
  <rowItems count="7">
    <i>
      <x v="2"/>
      <x v="2"/>
      <x/>
      <x v="2"/>
      <x v="2"/>
      <x v="2"/>
      <x v="2"/>
      <x v="2"/>
    </i>
    <i>
      <x v="3"/>
      <x v="3"/>
      <x/>
      <x v="3"/>
      <x v="3"/>
      <x v="3"/>
      <x v="3"/>
      <x v="3"/>
    </i>
    <i>
      <x v="4"/>
      <x v="4"/>
      <x/>
      <x v="4"/>
      <x v="4"/>
      <x v="4"/>
      <x v="4"/>
      <x v="4"/>
    </i>
    <i>
      <x v="5"/>
      <x v="5"/>
      <x/>
      <x v="5"/>
      <x v="5"/>
      <x v="5"/>
      <x v="5"/>
      <x v="5"/>
    </i>
    <i>
      <x v="6"/>
      <x v="6"/>
      <x/>
      <x v="6"/>
      <x v="7"/>
      <x v="6"/>
      <x v="6"/>
      <x v="6"/>
    </i>
    <i>
      <x v="7"/>
      <x v="7"/>
      <x/>
      <x v="7"/>
      <x v="6"/>
      <x v="7"/>
      <x v="7"/>
      <x v="7"/>
    </i>
    <i>
      <x v="8"/>
      <x v="8"/>
      <x/>
      <x v="8"/>
      <x v="8"/>
      <x v="8"/>
      <x v="8"/>
      <x v="8"/>
    </i>
  </rowItems>
  <colItems count="1">
    <i/>
  </colItems>
  <formats count="86">
    <format dxfId="430">
      <pivotArea type="all" dataOnly="0" outline="0" fieldPosition="0"/>
    </format>
    <format dxfId="429">
      <pivotArea field="0" type="button" dataOnly="0" labelOnly="1" outline="0" axis="axisRow" fieldPosition="0"/>
    </format>
    <format dxfId="428">
      <pivotArea field="1" type="button" dataOnly="0" labelOnly="1" outline="0" axis="axisRow" fieldPosition="1"/>
    </format>
    <format dxfId="427">
      <pivotArea field="2" type="button" dataOnly="0" labelOnly="1" outline="0" axis="axisRow" fieldPosition="2"/>
    </format>
    <format dxfId="426">
      <pivotArea field="3" type="button" dataOnly="0" labelOnly="1" outline="0" axis="axisRow" fieldPosition="3"/>
    </format>
    <format dxfId="425">
      <pivotArea field="4" type="button" dataOnly="0" labelOnly="1" outline="0" axis="axisRow" fieldPosition="4"/>
    </format>
    <format dxfId="424">
      <pivotArea field="5" type="button" dataOnly="0" labelOnly="1" outline="0" axis="axisRow" fieldPosition="5"/>
    </format>
    <format dxfId="423">
      <pivotArea field="6" type="button" dataOnly="0" labelOnly="1" outline="0" axis="axisRow" fieldPosition="6"/>
    </format>
    <format dxfId="422">
      <pivotArea field="7" type="button" dataOnly="0" labelOnly="1" outline="0" axis="axisRow" fieldPosition="7"/>
    </format>
    <format dxfId="421">
      <pivotArea type="all" dataOnly="0" outline="0" fieldPosition="0"/>
    </format>
    <format dxfId="420">
      <pivotArea field="0" type="button" dataOnly="0" labelOnly="1" outline="0" axis="axisRow" fieldPosition="0"/>
    </format>
    <format dxfId="419">
      <pivotArea field="1" type="button" dataOnly="0" labelOnly="1" outline="0" axis="axisRow" fieldPosition="1"/>
    </format>
    <format dxfId="418">
      <pivotArea field="2" type="button" dataOnly="0" labelOnly="1" outline="0" axis="axisRow" fieldPosition="2"/>
    </format>
    <format dxfId="417">
      <pivotArea field="3" type="button" dataOnly="0" labelOnly="1" outline="0" axis="axisRow" fieldPosition="3"/>
    </format>
    <format dxfId="416">
      <pivotArea field="4" type="button" dataOnly="0" labelOnly="1" outline="0" axis="axisRow" fieldPosition="4"/>
    </format>
    <format dxfId="415">
      <pivotArea field="5" type="button" dataOnly="0" labelOnly="1" outline="0" axis="axisRow" fieldPosition="5"/>
    </format>
    <format dxfId="414">
      <pivotArea field="6" type="button" dataOnly="0" labelOnly="1" outline="0" axis="axisRow" fieldPosition="6"/>
    </format>
    <format dxfId="413">
      <pivotArea field="7" type="button" dataOnly="0" labelOnly="1" outline="0" axis="axisRow" fieldPosition="7"/>
    </format>
    <format dxfId="412">
      <pivotArea type="all" dataOnly="0" outline="0" fieldPosition="0"/>
    </format>
    <format dxfId="411">
      <pivotArea field="0" type="button" dataOnly="0" labelOnly="1" outline="0" axis="axisRow" fieldPosition="0"/>
    </format>
    <format dxfId="410">
      <pivotArea field="1" type="button" dataOnly="0" labelOnly="1" outline="0" axis="axisRow" fieldPosition="1"/>
    </format>
    <format dxfId="409">
      <pivotArea field="2" type="button" dataOnly="0" labelOnly="1" outline="0" axis="axisRow" fieldPosition="2"/>
    </format>
    <format dxfId="408">
      <pivotArea field="3" type="button" dataOnly="0" labelOnly="1" outline="0" axis="axisRow" fieldPosition="3"/>
    </format>
    <format dxfId="407">
      <pivotArea field="4" type="button" dataOnly="0" labelOnly="1" outline="0" axis="axisRow" fieldPosition="4"/>
    </format>
    <format dxfId="406">
      <pivotArea field="5" type="button" dataOnly="0" labelOnly="1" outline="0" axis="axisRow" fieldPosition="5"/>
    </format>
    <format dxfId="405">
      <pivotArea field="6" type="button" dataOnly="0" labelOnly="1" outline="0" axis="axisRow" fieldPosition="6"/>
    </format>
    <format dxfId="404">
      <pivotArea field="7" type="button" dataOnly="0" labelOnly="1" outline="0" axis="axisRow" fieldPosition="7"/>
    </format>
    <format dxfId="403">
      <pivotArea type="all" dataOnly="0" outline="0" fieldPosition="0"/>
    </format>
    <format dxfId="402">
      <pivotArea field="0" type="button" dataOnly="0" labelOnly="1" outline="0" axis="axisRow" fieldPosition="0"/>
    </format>
    <format dxfId="401">
      <pivotArea field="1" type="button" dataOnly="0" labelOnly="1" outline="0" axis="axisRow" fieldPosition="1"/>
    </format>
    <format dxfId="400">
      <pivotArea field="2" type="button" dataOnly="0" labelOnly="1" outline="0" axis="axisRow" fieldPosition="2"/>
    </format>
    <format dxfId="399">
      <pivotArea field="3" type="button" dataOnly="0" labelOnly="1" outline="0" axis="axisRow" fieldPosition="3"/>
    </format>
    <format dxfId="398">
      <pivotArea field="4" type="button" dataOnly="0" labelOnly="1" outline="0" axis="axisRow" fieldPosition="4"/>
    </format>
    <format dxfId="397">
      <pivotArea field="5" type="button" dataOnly="0" labelOnly="1" outline="0" axis="axisRow" fieldPosition="5"/>
    </format>
    <format dxfId="396">
      <pivotArea field="6" type="button" dataOnly="0" labelOnly="1" outline="0" axis="axisRow" fieldPosition="6"/>
    </format>
    <format dxfId="395">
      <pivotArea field="7" type="button" dataOnly="0" labelOnly="1" outline="0" axis="axisRow" fieldPosition="7"/>
    </format>
    <format dxfId="394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6"/>
          </reference>
          <reference field="1" count="1">
            <x v="6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7"/>
          </reference>
          <reference field="1" count="1">
            <x v="7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  <format dxfId="3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2" count="0" selected="0"/>
          <reference field="3" count="1">
            <x v="0"/>
          </reference>
        </references>
      </pivotArea>
    </format>
    <format dxfId="3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2" count="0" selected="0"/>
          <reference field="3" count="1">
            <x v="1"/>
          </reference>
        </references>
      </pivotArea>
    </format>
    <format dxfId="3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2" count="0" selected="0"/>
          <reference field="3" count="1">
            <x v="2"/>
          </reference>
        </references>
      </pivotArea>
    </format>
    <format dxfId="38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"/>
          </reference>
          <reference field="2" count="0" selected="0"/>
          <reference field="3" count="1">
            <x v="3"/>
          </reference>
        </references>
      </pivotArea>
    </format>
    <format dxfId="38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"/>
          </reference>
          <reference field="2" count="0" selected="0"/>
          <reference field="3" count="1">
            <x v="4"/>
          </reference>
        </references>
      </pivotArea>
    </format>
    <format dxfId="380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5"/>
          </reference>
          <reference field="2" count="0" selected="0"/>
          <reference field="3" count="1">
            <x v="5"/>
          </reference>
        </references>
      </pivotArea>
    </format>
    <format dxfId="37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6"/>
          </reference>
          <reference field="2" count="0" selected="0"/>
          <reference field="3" count="1">
            <x v="6"/>
          </reference>
        </references>
      </pivotArea>
    </format>
    <format dxfId="378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7"/>
          </reference>
          <reference field="2" count="0" selected="0"/>
          <reference field="3" count="1">
            <x v="7"/>
          </reference>
        </references>
      </pivotArea>
    </format>
    <format dxfId="377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0"/>
          </reference>
          <reference field="2" count="0" selected="0"/>
          <reference field="3" count="1" selected="0">
            <x v="0"/>
          </reference>
          <reference field="4" count="1">
            <x v="0"/>
          </reference>
        </references>
      </pivotArea>
    </format>
    <format dxfId="37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1"/>
          </reference>
          <reference field="2" count="0" selected="0"/>
          <reference field="3" count="1" selected="0">
            <x v="1"/>
          </reference>
          <reference field="4" count="1">
            <x v="1"/>
          </reference>
        </references>
      </pivotArea>
    </format>
    <format dxfId="375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>
            <x v="2"/>
          </reference>
        </references>
      </pivotArea>
    </format>
    <format dxfId="374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3"/>
          </reference>
          <reference field="2" count="0" selected="0"/>
          <reference field="3" count="1" selected="0">
            <x v="3"/>
          </reference>
          <reference field="4" count="1">
            <x v="3"/>
          </reference>
        </references>
      </pivotArea>
    </format>
    <format dxfId="37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4"/>
          </reference>
          <reference field="2" count="0" selected="0"/>
          <reference field="3" count="1" selected="0">
            <x v="4"/>
          </reference>
          <reference field="4" count="1">
            <x v="4"/>
          </reference>
        </references>
      </pivotArea>
    </format>
    <format dxfId="372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5"/>
          </reference>
          <reference field="2" count="0" selected="0"/>
          <reference field="3" count="1" selected="0">
            <x v="5"/>
          </reference>
          <reference field="4" count="1">
            <x v="5"/>
          </reference>
        </references>
      </pivotArea>
    </format>
    <format dxfId="371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6"/>
          </reference>
          <reference field="2" count="0" selected="0"/>
          <reference field="3" count="1" selected="0">
            <x v="6"/>
          </reference>
          <reference field="4" count="1">
            <x v="7"/>
          </reference>
        </references>
      </pivotArea>
    </format>
    <format dxfId="370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7"/>
          </reference>
          <reference field="2" count="0" selected="0"/>
          <reference field="3" count="1" selected="0">
            <x v="7"/>
          </reference>
          <reference field="4" count="1">
            <x v="6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0"/>
          </reference>
          <reference field="2" count="0" selected="0"/>
          <reference field="3" count="1" selected="0">
            <x v="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1"/>
          </reference>
          <reference field="1" count="1" selected="0">
            <x v="1"/>
          </reference>
          <reference field="2" count="0" selected="0"/>
          <reference field="3" count="1" selected="0">
            <x v="1"/>
          </reference>
          <reference field="4" count="1" selected="0">
            <x v="1"/>
          </reference>
          <reference field="5" count="1">
            <x v="1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2"/>
          </reference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 selected="0">
            <x v="2"/>
          </reference>
          <reference field="5" count="1">
            <x v="2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3"/>
          </reference>
          <reference field="1" count="1" selected="0">
            <x v="3"/>
          </reference>
          <reference field="2" count="0" selected="0"/>
          <reference field="3" count="1" selected="0">
            <x v="3"/>
          </reference>
          <reference field="4" count="1" selected="0">
            <x v="3"/>
          </reference>
          <reference field="5" count="1">
            <x v="3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4"/>
          </reference>
          <reference field="1" count="1" selected="0">
            <x v="4"/>
          </reference>
          <reference field="2" count="0" selected="0"/>
          <reference field="3" count="1" selected="0">
            <x v="4"/>
          </reference>
          <reference field="4" count="1" selected="0">
            <x v="4"/>
          </reference>
          <reference field="5" count="1">
            <x v="4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5"/>
          </reference>
          <reference field="1" count="1" selected="0">
            <x v="5"/>
          </reference>
          <reference field="2" count="0" selected="0"/>
          <reference field="3" count="1" selected="0">
            <x v="5"/>
          </reference>
          <reference field="4" count="1" selected="0">
            <x v="5"/>
          </reference>
          <reference field="5" count="1">
            <x v="5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6"/>
          </reference>
          <reference field="1" count="1" selected="0">
            <x v="6"/>
          </reference>
          <reference field="2" count="0" selected="0"/>
          <reference field="3" count="1" selected="0">
            <x v="6"/>
          </reference>
          <reference field="4" count="1" selected="0">
            <x v="7"/>
          </reference>
          <reference field="5" count="1">
            <x v="6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7"/>
          </reference>
          <reference field="2" count="0" selected="0"/>
          <reference field="3" count="1" selected="0">
            <x v="7"/>
          </reference>
          <reference field="4" count="1" selected="0">
            <x v="6"/>
          </reference>
          <reference field="5" count="1">
            <x v="7"/>
          </reference>
        </references>
      </pivotArea>
    </format>
    <format dxfId="361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0"/>
          </reference>
          <reference field="2" count="0" selected="0"/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360">
      <pivotArea dataOnly="0" labelOnly="1" outline="0" fieldPosition="0">
        <references count="7">
          <reference field="0" count="1" selected="0">
            <x v="1"/>
          </reference>
          <reference field="1" count="1" selected="0">
            <x v="1"/>
          </reference>
          <reference field="2" count="0" selected="0"/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>
            <x v="1"/>
          </reference>
        </references>
      </pivotArea>
    </format>
    <format dxfId="359">
      <pivotArea dataOnly="0" labelOnly="1" outline="0" fieldPosition="0">
        <references count="7">
          <reference field="0" count="1" selected="0">
            <x v="2"/>
          </reference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 selected="0">
            <x v="2"/>
          </reference>
          <reference field="5" count="1" selected="0">
            <x v="2"/>
          </reference>
          <reference field="6" count="1">
            <x v="2"/>
          </reference>
        </references>
      </pivotArea>
    </format>
    <format dxfId="358">
      <pivotArea dataOnly="0" labelOnly="1" outline="0" fieldPosition="0">
        <references count="7">
          <reference field="0" count="1" selected="0">
            <x v="3"/>
          </reference>
          <reference field="1" count="1" selected="0">
            <x v="3"/>
          </reference>
          <reference field="2" count="0" selected="0"/>
          <reference field="3" count="1" selected="0">
            <x v="3"/>
          </reference>
          <reference field="4" count="1" selected="0">
            <x v="3"/>
          </reference>
          <reference field="5" count="1" selected="0">
            <x v="3"/>
          </reference>
          <reference field="6" count="1">
            <x v="3"/>
          </reference>
        </references>
      </pivotArea>
    </format>
    <format dxfId="357">
      <pivotArea dataOnly="0" labelOnly="1" outline="0" fieldPosition="0">
        <references count="7">
          <reference field="0" count="1" selected="0">
            <x v="4"/>
          </reference>
          <reference field="1" count="1" selected="0">
            <x v="4"/>
          </reference>
          <reference field="2" count="0" selected="0"/>
          <reference field="3" count="1" selected="0">
            <x v="4"/>
          </reference>
          <reference field="4" count="1" selected="0">
            <x v="4"/>
          </reference>
          <reference field="5" count="1" selected="0">
            <x v="4"/>
          </reference>
          <reference field="6" count="1">
            <x v="4"/>
          </reference>
        </references>
      </pivotArea>
    </format>
    <format dxfId="356">
      <pivotArea dataOnly="0" labelOnly="1" outline="0" fieldPosition="0">
        <references count="7">
          <reference field="0" count="1" selected="0">
            <x v="5"/>
          </reference>
          <reference field="1" count="1" selected="0">
            <x v="5"/>
          </reference>
          <reference field="2" count="0" selected="0"/>
          <reference field="3" count="1" selected="0">
            <x v="5"/>
          </reference>
          <reference field="4" count="1" selected="0">
            <x v="5"/>
          </reference>
          <reference field="5" count="1" selected="0">
            <x v="5"/>
          </reference>
          <reference field="6" count="1">
            <x v="5"/>
          </reference>
        </references>
      </pivotArea>
    </format>
    <format dxfId="355">
      <pivotArea dataOnly="0" labelOnly="1" outline="0" fieldPosition="0">
        <references count="7">
          <reference field="0" count="1" selected="0">
            <x v="6"/>
          </reference>
          <reference field="1" count="1" selected="0">
            <x v="6"/>
          </reference>
          <reference field="2" count="0" selected="0"/>
          <reference field="3" count="1" selected="0">
            <x v="6"/>
          </reference>
          <reference field="4" count="1" selected="0">
            <x v="7"/>
          </reference>
          <reference field="5" count="1" selected="0">
            <x v="6"/>
          </reference>
          <reference field="6" count="1">
            <x v="6"/>
          </reference>
        </references>
      </pivotArea>
    </format>
    <format dxfId="354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7"/>
          </reference>
          <reference field="2" count="0" selected="0"/>
          <reference field="3" count="1" selected="0">
            <x v="7"/>
          </reference>
          <reference field="4" count="1" selected="0">
            <x v="6"/>
          </reference>
          <reference field="5" count="1" selected="0">
            <x v="7"/>
          </reference>
          <reference field="6" count="1">
            <x v="7"/>
          </reference>
        </references>
      </pivotArea>
    </format>
    <format dxfId="353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0"/>
          </reference>
          <reference field="2" count="0" selected="0"/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352">
      <pivotArea dataOnly="0" labelOnly="1" outline="0" fieldPosition="0">
        <references count="8">
          <reference field="0" count="1" selected="0">
            <x v="1"/>
          </reference>
          <reference field="1" count="1" selected="0">
            <x v="1"/>
          </reference>
          <reference field="2" count="0" selected="0"/>
          <reference field="3" count="1" selected="0">
            <x v="1"/>
          </reference>
          <reference field="4" count="1" selected="0">
            <x v="1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1"/>
          </reference>
        </references>
      </pivotArea>
    </format>
    <format dxfId="351">
      <pivotArea dataOnly="0" labelOnly="1" outline="0" fieldPosition="0">
        <references count="8">
          <reference field="0" count="1" selected="0">
            <x v="2"/>
          </reference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7" count="1">
            <x v="2"/>
          </reference>
        </references>
      </pivotArea>
    </format>
    <format dxfId="350">
      <pivotArea dataOnly="0" labelOnly="1" outline="0" fieldPosition="0">
        <references count="8">
          <reference field="0" count="1" selected="0">
            <x v="3"/>
          </reference>
          <reference field="1" count="1" selected="0">
            <x v="3"/>
          </reference>
          <reference field="2" count="0" selected="0"/>
          <reference field="3" count="1" selected="0">
            <x v="3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3"/>
          </reference>
          <reference field="7" count="1">
            <x v="3"/>
          </reference>
        </references>
      </pivotArea>
    </format>
    <format dxfId="349">
      <pivotArea dataOnly="0" labelOnly="1" outline="0" fieldPosition="0">
        <references count="8">
          <reference field="0" count="1" selected="0">
            <x v="4"/>
          </reference>
          <reference field="1" count="1" selected="0">
            <x v="4"/>
          </reference>
          <reference field="2" count="0" selected="0"/>
          <reference field="3" count="1" selected="0">
            <x v="4"/>
          </reference>
          <reference field="4" count="1" selected="0">
            <x v="4"/>
          </reference>
          <reference field="5" count="1" selected="0">
            <x v="4"/>
          </reference>
          <reference field="6" count="1" selected="0">
            <x v="4"/>
          </reference>
          <reference field="7" count="1">
            <x v="4"/>
          </reference>
        </references>
      </pivotArea>
    </format>
    <format dxfId="348">
      <pivotArea dataOnly="0" labelOnly="1" outline="0" fieldPosition="0">
        <references count="8">
          <reference field="0" count="1" selected="0">
            <x v="5"/>
          </reference>
          <reference field="1" count="1" selected="0">
            <x v="5"/>
          </reference>
          <reference field="2" count="0" selected="0"/>
          <reference field="3" count="1" selected="0">
            <x v="5"/>
          </reference>
          <reference field="4" count="1" selected="0">
            <x v="5"/>
          </reference>
          <reference field="5" count="1" selected="0">
            <x v="5"/>
          </reference>
          <reference field="6" count="1" selected="0">
            <x v="5"/>
          </reference>
          <reference field="7" count="1">
            <x v="5"/>
          </reference>
        </references>
      </pivotArea>
    </format>
    <format dxfId="347">
      <pivotArea dataOnly="0" labelOnly="1" outline="0" fieldPosition="0">
        <references count="8">
          <reference field="0" count="1" selected="0">
            <x v="6"/>
          </reference>
          <reference field="1" count="1" selected="0">
            <x v="6"/>
          </reference>
          <reference field="2" count="0" selected="0"/>
          <reference field="3" count="1" selected="0">
            <x v="6"/>
          </reference>
          <reference field="4" count="1" selected="0">
            <x v="7"/>
          </reference>
          <reference field="5" count="1" selected="0">
            <x v="6"/>
          </reference>
          <reference field="6" count="1" selected="0">
            <x v="6"/>
          </reference>
          <reference field="7" count="1">
            <x v="6"/>
          </reference>
        </references>
      </pivotArea>
    </format>
    <format dxfId="346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7"/>
          </reference>
          <reference field="2" count="0" selected="0"/>
          <reference field="3" count="1" selected="0">
            <x v="7"/>
          </reference>
          <reference field="4" count="1" selected="0">
            <x v="6"/>
          </reference>
          <reference field="5" count="1" selected="0">
            <x v="7"/>
          </reference>
          <reference field="6" count="1" selected="0">
            <x v="7"/>
          </reference>
          <reference field="7" count="1">
            <x v="7"/>
          </reference>
        </references>
      </pivotArea>
    </format>
    <format dxfId="345">
      <pivotArea dataOnly="0" labelOnly="1" outline="0" offset="IV2:IV256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0"/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TablaDinámica7" cacheId="12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F44:M51" firstHeaderRow="1" firstDataRow="1" firstDataCol="8"/>
  <pivotFields count="11"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TOTAL PROVISIÓN" axis="axisRow" compact="0" outline="0" showAll="0" defaultSubtotal="0">
      <items count="9">
        <item m="1" x="8"/>
        <item m="1" x="7"/>
        <item x="0"/>
        <item x="1"/>
        <item x="2"/>
        <item x="3"/>
        <item x="5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JUSTE MES"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7"/>
        <item m="1" x="8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2"/>
    <field x="3"/>
    <field x="4"/>
    <field x="5"/>
    <field x="6"/>
    <field x="7"/>
  </rowFields>
  <rowItems count="7">
    <i>
      <x v="2"/>
      <x v="2"/>
      <x/>
      <x v="2"/>
      <x v="2"/>
      <x v="2"/>
      <x v="2"/>
      <x v="2"/>
    </i>
    <i>
      <x v="3"/>
      <x v="3"/>
      <x/>
      <x v="3"/>
      <x v="3"/>
      <x v="3"/>
      <x v="3"/>
      <x v="3"/>
    </i>
    <i>
      <x v="4"/>
      <x v="4"/>
      <x/>
      <x v="4"/>
      <x v="4"/>
      <x v="4"/>
      <x v="4"/>
      <x v="4"/>
    </i>
    <i>
      <x v="5"/>
      <x v="5"/>
      <x/>
      <x v="5"/>
      <x v="5"/>
      <x v="5"/>
      <x v="5"/>
      <x v="5"/>
    </i>
    <i>
      <x v="6"/>
      <x v="6"/>
      <x/>
      <x v="6"/>
      <x v="7"/>
      <x v="6"/>
      <x v="6"/>
      <x v="6"/>
    </i>
    <i>
      <x v="7"/>
      <x v="7"/>
      <x/>
      <x v="7"/>
      <x v="6"/>
      <x v="7"/>
      <x v="7"/>
      <x v="7"/>
    </i>
    <i>
      <x v="8"/>
      <x v="8"/>
      <x/>
      <x v="8"/>
      <x v="8"/>
      <x v="8"/>
      <x v="8"/>
      <x v="8"/>
    </i>
  </rowItems>
  <colItems count="1">
    <i/>
  </colItems>
  <formats count="93">
    <format dxfId="229">
      <pivotArea type="all" dataOnly="0" outline="0" fieldPosition="0"/>
    </format>
    <format dxfId="228">
      <pivotArea field="0" type="button" dataOnly="0" labelOnly="1" outline="0" axis="axisRow" fieldPosition="0"/>
    </format>
    <format dxfId="227">
      <pivotArea field="1" type="button" dataOnly="0" labelOnly="1" outline="0" axis="axisRow" fieldPosition="1"/>
    </format>
    <format dxfId="226">
      <pivotArea field="2" type="button" dataOnly="0" labelOnly="1" outline="0" axis="axisRow" fieldPosition="2"/>
    </format>
    <format dxfId="225">
      <pivotArea field="3" type="button" dataOnly="0" labelOnly="1" outline="0" axis="axisRow" fieldPosition="3"/>
    </format>
    <format dxfId="224">
      <pivotArea field="4" type="button" dataOnly="0" labelOnly="1" outline="0" axis="axisRow" fieldPosition="4"/>
    </format>
    <format dxfId="223">
      <pivotArea field="5" type="button" dataOnly="0" labelOnly="1" outline="0" axis="axisRow" fieldPosition="5"/>
    </format>
    <format dxfId="222">
      <pivotArea field="6" type="button" dataOnly="0" labelOnly="1" outline="0" axis="axisRow" fieldPosition="6"/>
    </format>
    <format dxfId="221">
      <pivotArea field="7" type="button" dataOnly="0" labelOnly="1" outline="0" axis="axisRow" fieldPosition="7"/>
    </format>
    <format dxfId="220">
      <pivotArea type="all" dataOnly="0" outline="0" fieldPosition="0"/>
    </format>
    <format dxfId="219">
      <pivotArea field="0" type="button" dataOnly="0" labelOnly="1" outline="0" axis="axisRow" fieldPosition="0"/>
    </format>
    <format dxfId="218">
      <pivotArea field="1" type="button" dataOnly="0" labelOnly="1" outline="0" axis="axisRow" fieldPosition="1"/>
    </format>
    <format dxfId="217">
      <pivotArea field="2" type="button" dataOnly="0" labelOnly="1" outline="0" axis="axisRow" fieldPosition="2"/>
    </format>
    <format dxfId="216">
      <pivotArea field="3" type="button" dataOnly="0" labelOnly="1" outline="0" axis="axisRow" fieldPosition="3"/>
    </format>
    <format dxfId="215">
      <pivotArea field="4" type="button" dataOnly="0" labelOnly="1" outline="0" axis="axisRow" fieldPosition="4"/>
    </format>
    <format dxfId="214">
      <pivotArea field="5" type="button" dataOnly="0" labelOnly="1" outline="0" axis="axisRow" fieldPosition="5"/>
    </format>
    <format dxfId="213">
      <pivotArea field="6" type="button" dataOnly="0" labelOnly="1" outline="0" axis="axisRow" fieldPosition="6"/>
    </format>
    <format dxfId="212">
      <pivotArea field="7" type="button" dataOnly="0" labelOnly="1" outline="0" axis="axisRow" fieldPosition="7"/>
    </format>
    <format dxfId="211">
      <pivotArea type="all" dataOnly="0" outline="0" fieldPosition="0"/>
    </format>
    <format dxfId="210">
      <pivotArea field="0" type="button" dataOnly="0" labelOnly="1" outline="0" axis="axisRow" fieldPosition="0"/>
    </format>
    <format dxfId="209">
      <pivotArea field="1" type="button" dataOnly="0" labelOnly="1" outline="0" axis="axisRow" fieldPosition="1"/>
    </format>
    <format dxfId="208">
      <pivotArea field="2" type="button" dataOnly="0" labelOnly="1" outline="0" axis="axisRow" fieldPosition="2"/>
    </format>
    <format dxfId="207">
      <pivotArea field="3" type="button" dataOnly="0" labelOnly="1" outline="0" axis="axisRow" fieldPosition="3"/>
    </format>
    <format dxfId="206">
      <pivotArea field="4" type="button" dataOnly="0" labelOnly="1" outline="0" axis="axisRow" fieldPosition="4"/>
    </format>
    <format dxfId="205">
      <pivotArea field="5" type="button" dataOnly="0" labelOnly="1" outline="0" axis="axisRow" fieldPosition="5"/>
    </format>
    <format dxfId="204">
      <pivotArea field="6" type="button" dataOnly="0" labelOnly="1" outline="0" axis="axisRow" fieldPosition="6"/>
    </format>
    <format dxfId="203">
      <pivotArea field="7" type="button" dataOnly="0" labelOnly="1" outline="0" axis="axisRow" fieldPosition="7"/>
    </format>
    <format dxfId="202">
      <pivotArea type="all" dataOnly="0" outline="0" fieldPosition="0"/>
    </format>
    <format dxfId="201">
      <pivotArea field="0" type="button" dataOnly="0" labelOnly="1" outline="0" axis="axisRow" fieldPosition="0"/>
    </format>
    <format dxfId="200">
      <pivotArea field="1" type="button" dataOnly="0" labelOnly="1" outline="0" axis="axisRow" fieldPosition="1"/>
    </format>
    <format dxfId="199">
      <pivotArea field="2" type="button" dataOnly="0" labelOnly="1" outline="0" axis="axisRow" fieldPosition="2"/>
    </format>
    <format dxfId="198">
      <pivotArea field="3" type="button" dataOnly="0" labelOnly="1" outline="0" axis="axisRow" fieldPosition="3"/>
    </format>
    <format dxfId="197">
      <pivotArea field="4" type="button" dataOnly="0" labelOnly="1" outline="0" axis="axisRow" fieldPosition="4"/>
    </format>
    <format dxfId="196">
      <pivotArea field="5" type="button" dataOnly="0" labelOnly="1" outline="0" axis="axisRow" fieldPosition="5"/>
    </format>
    <format dxfId="195">
      <pivotArea field="6" type="button" dataOnly="0" labelOnly="1" outline="0" axis="axisRow" fieldPosition="6"/>
    </format>
    <format dxfId="194">
      <pivotArea field="7" type="button" dataOnly="0" labelOnly="1" outline="0" axis="axisRow" fieldPosition="7"/>
    </format>
    <format dxfId="193">
      <pivotArea field="0" type="button" dataOnly="0" labelOnly="1" outline="0" axis="axisRow" fieldPosition="0"/>
    </format>
    <format dxfId="192">
      <pivotArea field="1" type="button" dataOnly="0" labelOnly="1" outline="0" axis="axisRow" fieldPosition="1"/>
    </format>
    <format dxfId="191">
      <pivotArea field="2" type="button" dataOnly="0" labelOnly="1" outline="0" axis="axisRow" fieldPosition="2"/>
    </format>
    <format dxfId="190">
      <pivotArea field="3" type="button" dataOnly="0" labelOnly="1" outline="0" axis="axisRow" fieldPosition="3"/>
    </format>
    <format dxfId="189">
      <pivotArea field="4" type="button" dataOnly="0" labelOnly="1" outline="0" axis="axisRow" fieldPosition="4"/>
    </format>
    <format dxfId="188">
      <pivotArea field="5" type="button" dataOnly="0" labelOnly="1" outline="0" axis="axisRow" fieldPosition="5"/>
    </format>
    <format dxfId="187">
      <pivotArea field="6" type="button" dataOnly="0" labelOnly="1" outline="0" axis="axisRow" fieldPosition="6"/>
    </format>
    <format dxfId="186">
      <pivotArea field="7" type="button" dataOnly="0" labelOnly="1" outline="0" axis="axisRow" fieldPosition="7"/>
    </format>
    <format dxfId="185">
      <pivotArea field="0" type="button" dataOnly="0" labelOnly="1" outline="0" axis="axisRow" fieldPosition="0"/>
    </format>
    <format dxfId="184">
      <pivotArea field="1" type="button" dataOnly="0" labelOnly="1" outline="0" axis="axisRow" fieldPosition="1"/>
    </format>
    <format dxfId="183">
      <pivotArea field="2" type="button" dataOnly="0" labelOnly="1" outline="0" axis="axisRow" fieldPosition="2"/>
    </format>
    <format dxfId="182">
      <pivotArea field="3" type="button" dataOnly="0" labelOnly="1" outline="0" axis="axisRow" fieldPosition="3"/>
    </format>
    <format dxfId="181">
      <pivotArea field="4" type="button" dataOnly="0" labelOnly="1" outline="0" axis="axisRow" fieldPosition="4"/>
    </format>
    <format dxfId="180">
      <pivotArea field="5" type="button" dataOnly="0" labelOnly="1" outline="0" axis="axisRow" fieldPosition="5"/>
    </format>
    <format dxfId="179">
      <pivotArea field="6" type="button" dataOnly="0" labelOnly="1" outline="0" axis="axisRow" fieldPosition="6"/>
    </format>
    <format dxfId="178">
      <pivotArea field="7" type="button" dataOnly="0" labelOnly="1" outline="0" axis="axisRow" fieldPosition="7"/>
    </format>
    <format dxfId="177">
      <pivotArea field="0" type="button" dataOnly="0" labelOnly="1" outline="0" axis="axisRow" fieldPosition="0"/>
    </format>
    <format dxfId="176">
      <pivotArea field="1" type="button" dataOnly="0" labelOnly="1" outline="0" axis="axisRow" fieldPosition="1"/>
    </format>
    <format dxfId="175">
      <pivotArea field="2" type="button" dataOnly="0" labelOnly="1" outline="0" axis="axisRow" fieldPosition="2"/>
    </format>
    <format dxfId="174">
      <pivotArea field="3" type="button" dataOnly="0" labelOnly="1" outline="0" axis="axisRow" fieldPosition="3"/>
    </format>
    <format dxfId="173">
      <pivotArea field="4" type="button" dataOnly="0" labelOnly="1" outline="0" axis="axisRow" fieldPosition="4"/>
    </format>
    <format dxfId="172">
      <pivotArea field="5" type="button" dataOnly="0" labelOnly="1" outline="0" axis="axisRow" fieldPosition="5"/>
    </format>
    <format dxfId="171">
      <pivotArea field="6" type="button" dataOnly="0" labelOnly="1" outline="0" axis="axisRow" fieldPosition="6"/>
    </format>
    <format dxfId="170">
      <pivotArea field="7" type="button" dataOnly="0" labelOnly="1" outline="0" axis="axisRow" fieldPosition="7"/>
    </format>
    <format dxfId="169">
      <pivotArea field="0" type="button" dataOnly="0" labelOnly="1" outline="0" axis="axisRow" fieldPosition="0"/>
    </format>
    <format dxfId="168">
      <pivotArea field="1" type="button" dataOnly="0" labelOnly="1" outline="0" axis="axisRow" fieldPosition="1"/>
    </format>
    <format dxfId="167">
      <pivotArea field="2" type="button" dataOnly="0" labelOnly="1" outline="0" axis="axisRow" fieldPosition="2"/>
    </format>
    <format dxfId="166">
      <pivotArea field="3" type="button" dataOnly="0" labelOnly="1" outline="0" axis="axisRow" fieldPosition="3"/>
    </format>
    <format dxfId="165">
      <pivotArea field="4" type="button" dataOnly="0" labelOnly="1" outline="0" axis="axisRow" fieldPosition="4"/>
    </format>
    <format dxfId="164">
      <pivotArea field="5" type="button" dataOnly="0" labelOnly="1" outline="0" axis="axisRow" fieldPosition="5"/>
    </format>
    <format dxfId="163">
      <pivotArea field="6" type="button" dataOnly="0" labelOnly="1" outline="0" axis="axisRow" fieldPosition="6"/>
    </format>
    <format dxfId="162">
      <pivotArea field="7" type="button" dataOnly="0" labelOnly="1" outline="0" axis="axisRow" fieldPosition="7"/>
    </format>
    <format dxfId="161">
      <pivotArea field="7" type="button" dataOnly="0" labelOnly="1" outline="0" axis="axisRow" fieldPosition="7"/>
    </format>
    <format dxfId="160">
      <pivotArea field="7" type="button" dataOnly="0" labelOnly="1" outline="0" axis="axisRow" fieldPosition="7"/>
    </format>
    <format dxfId="159">
      <pivotArea field="6" type="button" dataOnly="0" labelOnly="1" outline="0" axis="axisRow" fieldPosition="6"/>
    </format>
    <format dxfId="158">
      <pivotArea dataOnly="0" labelOnly="1" outline="0" fieldPosition="0">
        <references count="1">
          <reference field="0" count="0"/>
        </references>
      </pivotArea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dataOnly="0" labelOnly="1" outline="0" fieldPosition="0">
        <references count="1">
          <reference field="0" count="0"/>
        </references>
      </pivotArea>
    </format>
    <format dxfId="155">
      <pivotArea dataOnly="0" labelOnly="1" outline="0" fieldPosition="0">
        <references count="1">
          <reference field="0" count="0"/>
        </references>
      </pivotArea>
    </format>
    <format dxfId="154">
      <pivotArea dataOnly="0" labelOnly="1" outline="0" fieldPosition="0">
        <references count="1">
          <reference field="0" count="0"/>
        </references>
      </pivotArea>
    </format>
    <format dxfId="153">
      <pivotArea dataOnly="0" labelOnly="1" outline="0" fieldPosition="0">
        <references count="1">
          <reference field="0" count="0"/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field="7" type="button" dataOnly="0" labelOnly="1" outline="0" axis="axisRow" fieldPosition="7"/>
    </format>
    <format dxfId="150">
      <pivotArea field="7" type="button" dataOnly="0" labelOnly="1" outline="0" axis="axisRow" fieldPosition="7"/>
    </format>
    <format dxfId="149">
      <pivotArea field="7" type="button" dataOnly="0" labelOnly="1" outline="0" axis="axisRow" fieldPosition="7"/>
    </format>
    <format dxfId="148">
      <pivotArea dataOnly="0" labelOnly="1" outline="0" fieldPosition="0">
        <references count="1">
          <reference field="0" count="0"/>
        </references>
      </pivotArea>
    </format>
    <format dxfId="147">
      <pivotArea dataOnly="0" labelOnly="1" outline="0" fieldPosition="0">
        <references count="1">
          <reference field="0" count="0"/>
        </references>
      </pivotArea>
    </format>
    <format dxfId="146">
      <pivotArea type="all" dataOnly="0" outline="0" fieldPosition="0"/>
    </format>
    <format dxfId="145">
      <pivotArea field="0" type="button" dataOnly="0" labelOnly="1" outline="0" axis="axisRow" fieldPosition="0"/>
    </format>
    <format dxfId="144">
      <pivotArea field="1" type="button" dataOnly="0" labelOnly="1" outline="0" axis="axisRow" fieldPosition="1"/>
    </format>
    <format dxfId="143">
      <pivotArea field="2" type="button" dataOnly="0" labelOnly="1" outline="0" axis="axisRow" fieldPosition="2"/>
    </format>
    <format dxfId="142">
      <pivotArea field="3" type="button" dataOnly="0" labelOnly="1" outline="0" axis="axisRow" fieldPosition="3"/>
    </format>
    <format dxfId="141">
      <pivotArea field="4" type="button" dataOnly="0" labelOnly="1" outline="0" axis="axisRow" fieldPosition="4"/>
    </format>
    <format dxfId="140">
      <pivotArea field="5" type="button" dataOnly="0" labelOnly="1" outline="0" axis="axisRow" fieldPosition="5"/>
    </format>
    <format dxfId="139">
      <pivotArea field="6" type="button" dataOnly="0" labelOnly="1" outline="0" axis="axisRow" fieldPosition="6"/>
    </format>
    <format dxfId="138">
      <pivotArea field="7" type="button" dataOnly="0" labelOnly="1" outline="0" axis="axisRow" fieldPosition="7"/>
    </format>
    <format dxfId="137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TablaDinámica1" cacheId="11" applyNumberFormats="0" applyBorderFormats="0" applyFontFormats="0" applyPatternFormats="0" applyAlignmentFormats="0" applyWidthHeightFormats="1" dataCaption="Valores" showError="1" updatedVersion="6" minRefreshableVersion="3" useAutoFormatting="1" rowGrandTotals="0" colGrandTotals="0" itemPrintTitles="1" createdVersion="6" indent="0" compact="0" compactData="0" chartFormat="5">
  <location ref="C124:D125" firstHeaderRow="1" firstDataRow="1" firstDataCol="1" rowPageCount="1" colPageCount="1"/>
  <pivotFields count="11">
    <pivotField axis="axisRow" compact="0" outline="0" showAll="0" defaultSubtotal="0">
      <items count="13">
        <item m="1" x="5"/>
        <item m="1" x="2"/>
        <item m="1" x="10"/>
        <item m="1" x="11"/>
        <item m="1" x="3"/>
        <item m="1" x="6"/>
        <item m="1" x="1"/>
        <item m="1" x="4"/>
        <item m="1" x="9"/>
        <item m="1" x="12"/>
        <item m="1" x="7"/>
        <item m="1" x="8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m="1" x="10"/>
        <item m="1" x="9"/>
        <item m="1" x="6"/>
        <item m="1" x="4"/>
        <item m="1" x="8"/>
        <item m="1" x="11"/>
        <item m="1" x="7"/>
        <item m="1" x="5"/>
        <item m="1" x="3"/>
        <item m="1" x="12"/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m="1"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5"/>
        <item m="1" x="13"/>
        <item m="1" x="9"/>
        <item m="1" x="4"/>
        <item m="1" x="8"/>
        <item m="1" x="12"/>
        <item m="1" x="1"/>
        <item m="1" x="10"/>
        <item m="1" x="2"/>
        <item m="1" x="7"/>
        <item m="1" x="3"/>
        <item m="1" x="11"/>
        <item x="0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3"/>
        <item m="1" x="11"/>
        <item m="1" x="5"/>
        <item m="1" x="9"/>
        <item m="1" x="12"/>
        <item m="1" x="10"/>
        <item m="1" x="6"/>
        <item m="1" x="8"/>
        <item m="1" x="4"/>
        <item m="1" x="2"/>
        <item m="1" x="13"/>
        <item m="1" x="7"/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m="1" x="2"/>
        <item m="1" x="8"/>
        <item m="1" x="11"/>
        <item m="1" x="9"/>
        <item m="1" x="1"/>
        <item m="1" x="5"/>
        <item m="1" x="4"/>
        <item m="1" x="7"/>
        <item m="1" x="3"/>
        <item m="1" x="6"/>
        <item m="1" x="10"/>
        <item m="1" x="1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9"/>
        <item m="1" x="12"/>
        <item m="1" x="4"/>
        <item m="1" x="1"/>
        <item m="1" x="13"/>
        <item m="1" x="7"/>
        <item m="1" x="8"/>
        <item m="1" x="3"/>
        <item m="1" x="10"/>
        <item m="1" x="11"/>
        <item m="1" x="5"/>
        <item m="1" x="6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3"/>
        <item m="1" x="13"/>
        <item m="1" x="8"/>
        <item m="1" x="1"/>
        <item m="1" x="9"/>
        <item m="1" x="11"/>
        <item m="1" x="5"/>
        <item m="1" x="10"/>
        <item m="1" x="6"/>
        <item m="1" x="4"/>
        <item m="1" x="2"/>
        <item m="1" x="12"/>
        <item x="0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13">
        <item m="1" x="9"/>
        <item m="1" x="8"/>
        <item m="1" x="4"/>
        <item m="1" x="10"/>
        <item m="1" x="2"/>
        <item m="1" x="11"/>
        <item m="1" x="6"/>
        <item m="1" x="1"/>
        <item m="1" x="12"/>
        <item m="1" x="5"/>
        <item m="1" x="7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2"/>
    </i>
  </rowItems>
  <colItems count="1">
    <i/>
  </colItems>
  <pageFields count="1">
    <pageField fld="8" hier="-1"/>
  </pageFields>
  <dataFields count="1">
    <dataField name="Suma de RECAUDO" fld="8" baseField="0" baseItem="2" numFmtId="173"/>
  </dataFields>
  <formats count="37">
    <format dxfId="56">
      <pivotArea type="all" dataOnly="0" outline="0" fieldPosition="0"/>
    </format>
    <format dxfId="55">
      <pivotArea field="0" type="button" dataOnly="0" labelOnly="1" outline="0" axis="axisRow" fieldPosition="0"/>
    </format>
    <format dxfId="54">
      <pivotArea field="1" type="button" dataOnly="0" labelOnly="1" outline="0"/>
    </format>
    <format dxfId="53">
      <pivotArea field="2" type="button" dataOnly="0" labelOnly="1" outline="0"/>
    </format>
    <format dxfId="52">
      <pivotArea field="3" type="button" dataOnly="0" labelOnly="1" outline="0"/>
    </format>
    <format dxfId="51">
      <pivotArea field="4" type="button" dataOnly="0" labelOnly="1" outline="0"/>
    </format>
    <format dxfId="50">
      <pivotArea field="5" type="button" dataOnly="0" labelOnly="1" outline="0"/>
    </format>
    <format dxfId="49">
      <pivotArea field="6" type="button" dataOnly="0" labelOnly="1" outline="0"/>
    </format>
    <format dxfId="48">
      <pivotArea field="7" type="button" dataOnly="0" labelOnly="1" outline="0"/>
    </format>
    <format dxfId="47">
      <pivotArea type="all" dataOnly="0" outline="0" fieldPosition="0"/>
    </format>
    <format dxfId="46">
      <pivotArea field="0" type="button" dataOnly="0" labelOnly="1" outline="0" axis="axisRow" fieldPosition="0"/>
    </format>
    <format dxfId="45">
      <pivotArea field="1" type="button" dataOnly="0" labelOnly="1" outline="0"/>
    </format>
    <format dxfId="44">
      <pivotArea field="2" type="button" dataOnly="0" labelOnly="1" outline="0"/>
    </format>
    <format dxfId="43">
      <pivotArea field="3" type="button" dataOnly="0" labelOnly="1" outline="0"/>
    </format>
    <format dxfId="42">
      <pivotArea field="4" type="button" dataOnly="0" labelOnly="1" outline="0"/>
    </format>
    <format dxfId="41">
      <pivotArea field="5" type="button" dataOnly="0" labelOnly="1" outline="0"/>
    </format>
    <format dxfId="40">
      <pivotArea field="6" type="button" dataOnly="0" labelOnly="1" outline="0"/>
    </format>
    <format dxfId="39">
      <pivotArea field="7" type="button" dataOnly="0" labelOnly="1" outline="0"/>
    </format>
    <format dxfId="38">
      <pivotArea type="all" dataOnly="0" outline="0" fieldPosition="0"/>
    </format>
    <format dxfId="37">
      <pivotArea field="0" type="button" dataOnly="0" labelOnly="1" outline="0" axis="axisRow" fieldPosition="0"/>
    </format>
    <format dxfId="36">
      <pivotArea field="1" type="button" dataOnly="0" labelOnly="1" outline="0"/>
    </format>
    <format dxfId="35">
      <pivotArea field="2" type="button" dataOnly="0" labelOnly="1" outline="0"/>
    </format>
    <format dxfId="34">
      <pivotArea field="3" type="button" dataOnly="0" labelOnly="1" outline="0"/>
    </format>
    <format dxfId="33">
      <pivotArea field="4" type="button" dataOnly="0" labelOnly="1" outline="0"/>
    </format>
    <format dxfId="32">
      <pivotArea field="5" type="button" dataOnly="0" labelOnly="1" outline="0"/>
    </format>
    <format dxfId="31">
      <pivotArea field="6" type="button" dataOnly="0" labelOnly="1" outline="0"/>
    </format>
    <format dxfId="30">
      <pivotArea field="7" type="button" dataOnly="0" labelOnly="1" outline="0"/>
    </format>
    <format dxfId="29">
      <pivotArea type="all" dataOnly="0" outline="0" fieldPosition="0"/>
    </format>
    <format dxfId="28">
      <pivotArea field="0" type="button" dataOnly="0" labelOnly="1" outline="0" axis="axisRow" fieldPosition="0"/>
    </format>
    <format dxfId="27">
      <pivotArea field="1" type="button" dataOnly="0" labelOnly="1" outline="0"/>
    </format>
    <format dxfId="26">
      <pivotArea field="2" type="button" dataOnly="0" labelOnly="1" outline="0"/>
    </format>
    <format dxfId="25">
      <pivotArea field="3" type="button" dataOnly="0" labelOnly="1" outline="0"/>
    </format>
    <format dxfId="24">
      <pivotArea field="4" type="button" dataOnly="0" labelOnly="1" outline="0"/>
    </format>
    <format dxfId="23">
      <pivotArea field="5" type="button" dataOnly="0" labelOnly="1" outline="0"/>
    </format>
    <format dxfId="22">
      <pivotArea field="6" type="button" dataOnly="0" labelOnly="1" outline="0"/>
    </format>
    <format dxfId="21">
      <pivotArea field="7" type="button" dataOnly="0" labelOnly="1" outline="0"/>
    </format>
    <format dxfId="20">
      <pivotArea outline="0" collapsedLevelsAreSubtotals="1" fieldPosition="0"/>
    </format>
  </formats>
  <chartFormats count="3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TablaDinámica2" cacheId="1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1">
  <location ref="C197:E210" firstHeaderRow="1" firstDataRow="2" firstDataCol="1"/>
  <pivotFields count="42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7">
        <item x="0"/>
        <item x="4"/>
        <item x="2"/>
        <item x="6"/>
        <item x="3"/>
        <item x="5"/>
        <item x="1"/>
      </items>
    </pivotField>
    <pivotField dataField="1" compact="0" numFmtId="167" outline="0" showAll="0" defaultSubtotal="0"/>
    <pivotField compact="0" outline="0" multipleItemSelectionAllowed="1" showAll="0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Col" compact="0" outline="0" showAll="0" defaultSubtotal="0">
      <items count="4">
        <item sd="0" x="0"/>
        <item sd="0" x="1"/>
        <item sd="0" x="2"/>
        <item x="3"/>
      </items>
    </pivotField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41"/>
  </colFields>
  <colItems count="2">
    <i>
      <x v="1"/>
    </i>
    <i>
      <x v="2"/>
    </i>
  </colItems>
  <dataFields count="1">
    <dataField name="Suma de Valor" fld="38" baseField="0" baseItem="0" numFmtId="173"/>
  </dataFields>
  <formats count="8">
    <format dxfId="64">
      <pivotArea outline="0" collapsedLevelsAreSubtotals="1" fieldPosition="0"/>
    </format>
    <format dxfId="63">
      <pivotArea field="0" type="button" dataOnly="0" labelOnly="1" outline="0" axis="axisRow" fieldPosition="0"/>
    </format>
    <format dxfId="62">
      <pivotArea dataOnly="0" labelOnly="1" grandCol="1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grandCol="1" outline="0" fieldPosition="0"/>
    </format>
    <format dxfId="58">
      <pivotArea outline="0" collapsedLevelsAreSubtotals="1" fieldPosition="0"/>
    </format>
    <format dxfId="57">
      <pivotArea outline="0" collapsedLevelsAreSubtotals="1" fieldPosition="0"/>
    </format>
  </formats>
  <chartFormats count="8"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2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1"/>
          </reference>
        </references>
      </pivotArea>
    </chartFormat>
    <chartFormat chart="9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1" count="1" selected="0">
            <x v="1"/>
          </reference>
        </references>
      </pivotArea>
    </chartFormat>
    <chartFormat chart="9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1" count="1" selected="0">
            <x v="1"/>
          </reference>
        </references>
      </pivotArea>
    </chartFormat>
    <chartFormat chart="9" format="44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2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1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4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TablaDinámica5" cacheId="1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C168:D169" firstHeaderRow="1" firstDataRow="1" firstDataCol="1" rowPageCount="1" colPageCount="1"/>
  <pivotFields count="11">
    <pivotField axis="axisRow" compact="0" outline="0" showAll="0" defaultSubtotal="0">
      <items count="13">
        <item m="1" x="5"/>
        <item m="1" x="2"/>
        <item m="1" x="10"/>
        <item m="1" x="11"/>
        <item m="1" x="3"/>
        <item m="1" x="6"/>
        <item m="1" x="1"/>
        <item m="1" x="4"/>
        <item m="1" x="9"/>
        <item m="1" x="12"/>
        <item m="1" x="7"/>
        <item m="1" x="8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m="1" x="10"/>
        <item m="1" x="9"/>
        <item m="1" x="6"/>
        <item m="1" x="4"/>
        <item m="1" x="8"/>
        <item m="1" x="11"/>
        <item m="1" x="7"/>
        <item m="1" x="5"/>
        <item m="1" x="3"/>
        <item m="1" x="12"/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m="1"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5"/>
        <item m="1" x="13"/>
        <item m="1" x="9"/>
        <item m="1" x="4"/>
        <item m="1" x="8"/>
        <item m="1" x="12"/>
        <item m="1" x="1"/>
        <item m="1" x="10"/>
        <item m="1" x="2"/>
        <item m="1" x="7"/>
        <item m="1" x="3"/>
        <item m="1" x="11"/>
        <item x="0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3"/>
        <item m="1" x="11"/>
        <item m="1" x="5"/>
        <item m="1" x="9"/>
        <item m="1" x="12"/>
        <item m="1" x="10"/>
        <item m="1" x="6"/>
        <item m="1" x="8"/>
        <item m="1" x="4"/>
        <item m="1" x="2"/>
        <item m="1" x="13"/>
        <item m="1" x="7"/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m="1" x="2"/>
        <item m="1" x="8"/>
        <item m="1" x="11"/>
        <item m="1" x="9"/>
        <item m="1" x="1"/>
        <item m="1" x="5"/>
        <item m="1" x="4"/>
        <item m="1" x="7"/>
        <item m="1" x="3"/>
        <item m="1" x="6"/>
        <item m="1" x="10"/>
        <item m="1" x="1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9"/>
        <item m="1" x="12"/>
        <item m="1" x="4"/>
        <item m="1" x="1"/>
        <item m="1" x="13"/>
        <item m="1" x="7"/>
        <item m="1" x="8"/>
        <item m="1" x="3"/>
        <item m="1" x="10"/>
        <item m="1" x="11"/>
        <item m="1" x="5"/>
        <item m="1" x="6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m="1" x="3"/>
        <item m="1" x="13"/>
        <item m="1" x="8"/>
        <item m="1" x="1"/>
        <item m="1" x="9"/>
        <item m="1" x="11"/>
        <item m="1" x="5"/>
        <item m="1" x="10"/>
        <item m="1" x="6"/>
        <item m="1" x="4"/>
        <item m="1" x="2"/>
        <item m="1" x="12"/>
        <item x="0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14">
        <item m="1" x="5"/>
        <item m="1" x="12"/>
        <item m="1" x="11"/>
        <item m="1" x="10"/>
        <item m="1" x="3"/>
        <item m="1" x="4"/>
        <item m="1" x="1"/>
        <item m="1" x="2"/>
        <item m="1" x="6"/>
        <item m="1" x="9"/>
        <item m="1" x="7"/>
        <item m="1" x="13"/>
        <item m="1" x="8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">
    <i>
      <x v="12"/>
    </i>
  </rowItems>
  <colItems count="1">
    <i/>
  </colItems>
  <pageFields count="1">
    <pageField fld="9" hier="-1"/>
  </pageFields>
  <dataFields count="1">
    <dataField name="Suma de SALDO CONTABLE POR MES" fld="9" baseField="0" baseItem="0"/>
  </dataFields>
  <formats count="36">
    <format dxfId="100">
      <pivotArea type="all" dataOnly="0" outline="0" fieldPosition="0"/>
    </format>
    <format dxfId="99">
      <pivotArea field="0" type="button" dataOnly="0" labelOnly="1" outline="0" axis="axisRow" fieldPosition="0"/>
    </format>
    <format dxfId="98">
      <pivotArea field="1" type="button" dataOnly="0" labelOnly="1" outline="0"/>
    </format>
    <format dxfId="97">
      <pivotArea field="2" type="button" dataOnly="0" labelOnly="1" outline="0"/>
    </format>
    <format dxfId="96">
      <pivotArea field="3" type="button" dataOnly="0" labelOnly="1" outline="0"/>
    </format>
    <format dxfId="95">
      <pivotArea field="4" type="button" dataOnly="0" labelOnly="1" outline="0"/>
    </format>
    <format dxfId="94">
      <pivotArea field="5" type="button" dataOnly="0" labelOnly="1" outline="0"/>
    </format>
    <format dxfId="93">
      <pivotArea field="6" type="button" dataOnly="0" labelOnly="1" outline="0"/>
    </format>
    <format dxfId="92">
      <pivotArea field="7" type="button" dataOnly="0" labelOnly="1" outline="0"/>
    </format>
    <format dxfId="91">
      <pivotArea type="all" dataOnly="0" outline="0" fieldPosition="0"/>
    </format>
    <format dxfId="90">
      <pivotArea field="0" type="button" dataOnly="0" labelOnly="1" outline="0" axis="axisRow" fieldPosition="0"/>
    </format>
    <format dxfId="89">
      <pivotArea field="1" type="button" dataOnly="0" labelOnly="1" outline="0"/>
    </format>
    <format dxfId="88">
      <pivotArea field="2" type="button" dataOnly="0" labelOnly="1" outline="0"/>
    </format>
    <format dxfId="87">
      <pivotArea field="3" type="button" dataOnly="0" labelOnly="1" outline="0"/>
    </format>
    <format dxfId="86">
      <pivotArea field="4" type="button" dataOnly="0" labelOnly="1" outline="0"/>
    </format>
    <format dxfId="85">
      <pivotArea field="5" type="button" dataOnly="0" labelOnly="1" outline="0"/>
    </format>
    <format dxfId="84">
      <pivotArea field="6" type="button" dataOnly="0" labelOnly="1" outline="0"/>
    </format>
    <format dxfId="83">
      <pivotArea field="7" type="button" dataOnly="0" labelOnly="1" outline="0"/>
    </format>
    <format dxfId="82">
      <pivotArea type="all" dataOnly="0" outline="0" fieldPosition="0"/>
    </format>
    <format dxfId="81">
      <pivotArea field="0" type="button" dataOnly="0" labelOnly="1" outline="0" axis="axisRow" fieldPosition="0"/>
    </format>
    <format dxfId="80">
      <pivotArea field="1" type="button" dataOnly="0" labelOnly="1" outline="0"/>
    </format>
    <format dxfId="79">
      <pivotArea field="2" type="button" dataOnly="0" labelOnly="1" outline="0"/>
    </format>
    <format dxfId="78">
      <pivotArea field="3" type="button" dataOnly="0" labelOnly="1" outline="0"/>
    </format>
    <format dxfId="77">
      <pivotArea field="4" type="button" dataOnly="0" labelOnly="1" outline="0"/>
    </format>
    <format dxfId="76">
      <pivotArea field="5" type="button" dataOnly="0" labelOnly="1" outline="0"/>
    </format>
    <format dxfId="75">
      <pivotArea field="6" type="button" dataOnly="0" labelOnly="1" outline="0"/>
    </format>
    <format dxfId="74">
      <pivotArea field="7" type="button" dataOnly="0" labelOnly="1" outline="0"/>
    </format>
    <format dxfId="73">
      <pivotArea type="all" dataOnly="0" outline="0" fieldPosition="0"/>
    </format>
    <format dxfId="72">
      <pivotArea field="0" type="button" dataOnly="0" labelOnly="1" outline="0" axis="axisRow" fieldPosition="0"/>
    </format>
    <format dxfId="71">
      <pivotArea field="1" type="button" dataOnly="0" labelOnly="1" outline="0"/>
    </format>
    <format dxfId="70">
      <pivotArea field="2" type="button" dataOnly="0" labelOnly="1" outline="0"/>
    </format>
    <format dxfId="69">
      <pivotArea field="3" type="button" dataOnly="0" labelOnly="1" outline="0"/>
    </format>
    <format dxfId="68">
      <pivotArea field="4" type="button" dataOnly="0" labelOnly="1" outline="0"/>
    </format>
    <format dxfId="67">
      <pivotArea field="5" type="button" dataOnly="0" labelOnly="1" outline="0"/>
    </format>
    <format dxfId="66">
      <pivotArea field="6" type="button" dataOnly="0" labelOnly="1" outline="0"/>
    </format>
    <format dxfId="65">
      <pivotArea field="7" type="button" dataOnly="0" labelOnly="1" outline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TablaDinámica3" cacheId="1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C102:J103" firstHeaderRow="1" firstDataRow="1" firstDataCol="8"/>
  <pivotFields count="11">
    <pivotField axis="axisRow" compact="0" outline="0" showAll="0" defaultSubtotal="0">
      <items count="13">
        <item m="1" x="5"/>
        <item m="1" x="2"/>
        <item m="1" x="10"/>
        <item m="1" x="11"/>
        <item m="1" x="3"/>
        <item m="1" x="6"/>
        <item m="1" x="1"/>
        <item m="1" x="4"/>
        <item m="1" x="9"/>
        <item m="1" x="12"/>
        <item m="1" x="7"/>
        <item m="1" x="8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m="1" x="10"/>
        <item m="1" x="9"/>
        <item m="1" x="6"/>
        <item m="1" x="4"/>
        <item m="1" x="8"/>
        <item m="1" x="11"/>
        <item m="1" x="7"/>
        <item m="1" x="5"/>
        <item m="1" x="3"/>
        <item m="1" x="12"/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m="1"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m="1" x="5"/>
        <item m="1" x="13"/>
        <item m="1" x="9"/>
        <item m="1" x="4"/>
        <item m="1" x="8"/>
        <item m="1" x="12"/>
        <item m="1" x="1"/>
        <item m="1" x="10"/>
        <item m="1" x="2"/>
        <item m="1" x="7"/>
        <item m="1" x="3"/>
        <item m="1" x="11"/>
        <item x="0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m="1" x="3"/>
        <item m="1" x="11"/>
        <item m="1" x="5"/>
        <item m="1" x="9"/>
        <item m="1" x="12"/>
        <item m="1" x="10"/>
        <item m="1" x="6"/>
        <item m="1" x="8"/>
        <item m="1" x="4"/>
        <item m="1" x="2"/>
        <item m="1" x="13"/>
        <item m="1" x="7"/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m="1" x="2"/>
        <item m="1" x="8"/>
        <item m="1" x="11"/>
        <item m="1" x="9"/>
        <item m="1" x="1"/>
        <item m="1" x="5"/>
        <item m="1" x="4"/>
        <item m="1" x="7"/>
        <item m="1" x="3"/>
        <item m="1" x="6"/>
        <item m="1" x="10"/>
        <item m="1" x="1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m="1" x="9"/>
        <item m="1" x="12"/>
        <item m="1" x="4"/>
        <item m="1" x="1"/>
        <item m="1" x="13"/>
        <item m="1" x="7"/>
        <item m="1" x="8"/>
        <item m="1" x="3"/>
        <item m="1" x="10"/>
        <item m="1" x="11"/>
        <item m="1" x="5"/>
        <item m="1" x="6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m="1" x="3"/>
        <item m="1" x="13"/>
        <item m="1" x="8"/>
        <item m="1" x="1"/>
        <item m="1" x="9"/>
        <item m="1" x="11"/>
        <item m="1" x="5"/>
        <item m="1" x="10"/>
        <item m="1" x="6"/>
        <item m="1" x="4"/>
        <item m="1" x="2"/>
        <item m="1" x="12"/>
        <item x="0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2"/>
    <field x="3"/>
    <field x="4"/>
    <field x="5"/>
    <field x="6"/>
    <field x="7"/>
  </rowFields>
  <rowItems count="1">
    <i>
      <x v="12"/>
      <x v="12"/>
      <x/>
      <x v="12"/>
      <x v="12"/>
      <x v="12"/>
      <x v="12"/>
      <x v="12"/>
    </i>
  </rowItems>
  <colItems count="1">
    <i/>
  </colItems>
  <formats count="36">
    <format dxfId="136">
      <pivotArea type="all" dataOnly="0" outline="0" fieldPosition="0"/>
    </format>
    <format dxfId="135">
      <pivotArea field="0" type="button" dataOnly="0" labelOnly="1" outline="0" axis="axisRow" fieldPosition="0"/>
    </format>
    <format dxfId="134">
      <pivotArea field="1" type="button" dataOnly="0" labelOnly="1" outline="0" axis="axisRow" fieldPosition="1"/>
    </format>
    <format dxfId="133">
      <pivotArea field="2" type="button" dataOnly="0" labelOnly="1" outline="0" axis="axisRow" fieldPosition="2"/>
    </format>
    <format dxfId="132">
      <pivotArea field="3" type="button" dataOnly="0" labelOnly="1" outline="0" axis="axisRow" fieldPosition="3"/>
    </format>
    <format dxfId="131">
      <pivotArea field="4" type="button" dataOnly="0" labelOnly="1" outline="0" axis="axisRow" fieldPosition="4"/>
    </format>
    <format dxfId="130">
      <pivotArea field="5" type="button" dataOnly="0" labelOnly="1" outline="0" axis="axisRow" fieldPosition="5"/>
    </format>
    <format dxfId="129">
      <pivotArea field="6" type="button" dataOnly="0" labelOnly="1" outline="0" axis="axisRow" fieldPosition="6"/>
    </format>
    <format dxfId="128">
      <pivotArea field="7" type="button" dataOnly="0" labelOnly="1" outline="0" axis="axisRow" fieldPosition="7"/>
    </format>
    <format dxfId="127">
      <pivotArea type="all" dataOnly="0" outline="0" fieldPosition="0"/>
    </format>
    <format dxfId="126">
      <pivotArea field="0" type="button" dataOnly="0" labelOnly="1" outline="0" axis="axisRow" fieldPosition="0"/>
    </format>
    <format dxfId="125">
      <pivotArea field="1" type="button" dataOnly="0" labelOnly="1" outline="0" axis="axisRow" fieldPosition="1"/>
    </format>
    <format dxfId="124">
      <pivotArea field="2" type="button" dataOnly="0" labelOnly="1" outline="0" axis="axisRow" fieldPosition="2"/>
    </format>
    <format dxfId="123">
      <pivotArea field="3" type="button" dataOnly="0" labelOnly="1" outline="0" axis="axisRow" fieldPosition="3"/>
    </format>
    <format dxfId="122">
      <pivotArea field="4" type="button" dataOnly="0" labelOnly="1" outline="0" axis="axisRow" fieldPosition="4"/>
    </format>
    <format dxfId="121">
      <pivotArea field="5" type="button" dataOnly="0" labelOnly="1" outline="0" axis="axisRow" fieldPosition="5"/>
    </format>
    <format dxfId="120">
      <pivotArea field="6" type="button" dataOnly="0" labelOnly="1" outline="0" axis="axisRow" fieldPosition="6"/>
    </format>
    <format dxfId="119">
      <pivotArea field="7" type="button" dataOnly="0" labelOnly="1" outline="0" axis="axisRow" fieldPosition="7"/>
    </format>
    <format dxfId="118">
      <pivotArea type="all" dataOnly="0" outline="0" fieldPosition="0"/>
    </format>
    <format dxfId="117">
      <pivotArea field="0" type="button" dataOnly="0" labelOnly="1" outline="0" axis="axisRow" fieldPosition="0"/>
    </format>
    <format dxfId="116">
      <pivotArea field="1" type="button" dataOnly="0" labelOnly="1" outline="0" axis="axisRow" fieldPosition="1"/>
    </format>
    <format dxfId="115">
      <pivotArea field="2" type="button" dataOnly="0" labelOnly="1" outline="0" axis="axisRow" fieldPosition="2"/>
    </format>
    <format dxfId="114">
      <pivotArea field="3" type="button" dataOnly="0" labelOnly="1" outline="0" axis="axisRow" fieldPosition="3"/>
    </format>
    <format dxfId="113">
      <pivotArea field="4" type="button" dataOnly="0" labelOnly="1" outline="0" axis="axisRow" fieldPosition="4"/>
    </format>
    <format dxfId="112">
      <pivotArea field="5" type="button" dataOnly="0" labelOnly="1" outline="0" axis="axisRow" fieldPosition="5"/>
    </format>
    <format dxfId="111">
      <pivotArea field="6" type="button" dataOnly="0" labelOnly="1" outline="0" axis="axisRow" fieldPosition="6"/>
    </format>
    <format dxfId="110">
      <pivotArea field="7" type="button" dataOnly="0" labelOnly="1" outline="0" axis="axisRow" fieldPosition="7"/>
    </format>
    <format dxfId="109">
      <pivotArea type="all" dataOnly="0" outline="0" fieldPosition="0"/>
    </format>
    <format dxfId="108">
      <pivotArea field="0" type="button" dataOnly="0" labelOnly="1" outline="0" axis="axisRow" fieldPosition="0"/>
    </format>
    <format dxfId="107">
      <pivotArea field="1" type="button" dataOnly="0" labelOnly="1" outline="0" axis="axisRow" fieldPosition="1"/>
    </format>
    <format dxfId="106">
      <pivotArea field="2" type="button" dataOnly="0" labelOnly="1" outline="0" axis="axisRow" fieldPosition="2"/>
    </format>
    <format dxfId="105">
      <pivotArea field="3" type="button" dataOnly="0" labelOnly="1" outline="0" axis="axisRow" fieldPosition="3"/>
    </format>
    <format dxfId="104">
      <pivotArea field="4" type="button" dataOnly="0" labelOnly="1" outline="0" axis="axisRow" fieldPosition="4"/>
    </format>
    <format dxfId="103">
      <pivotArea field="5" type="button" dataOnly="0" labelOnly="1" outline="0" axis="axisRow" fieldPosition="5"/>
    </format>
    <format dxfId="102">
      <pivotArea field="6" type="button" dataOnly="0" labelOnly="1" outline="0" axis="axisRow" fieldPosition="6"/>
    </format>
    <format dxfId="101">
      <pivotArea field="7" type="button" dataOnly="0" labelOnly="1" outline="0" axis="axisRow" fieldPosition="7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0000000-0013-0000-FFFF-FFFF01000000}" sourceName="MES">
  <data>
    <tabular pivotCacheId="39">
      <items count="9">
        <i x="1" s="1"/>
        <i x="5" s="1"/>
        <i x="7" s="1"/>
        <i x="8" s="1"/>
        <i x="4" s="1"/>
        <i x="3" s="1"/>
        <i x="0" s="1"/>
        <i x="2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PS_intervenida" xr10:uid="{00000000-0013-0000-FFFF-FFFF02000000}" sourceName="EPS intervenida">
  <pivotTables>
    <pivotTable tabId="12" name="TablaDinámica2"/>
  </pivotTables>
  <data>
    <tabular pivotCacheId="40" sortOrder="descending">
      <items count="8">
        <i x="7" s="1"/>
        <i x="1" s="1"/>
        <i x="5" s="1"/>
        <i x="3" s="1"/>
        <i x="6" s="1"/>
        <i x="2" s="1"/>
        <i x="4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PS_intervenida1" xr10:uid="{00000000-0013-0000-FFFF-FFFF03000000}" sourceName="EPS intervenida">
  <pivotTables>
    <pivotTable tabId="22" name="TablaDinámica2"/>
  </pivotTables>
  <data>
    <tabular pivotCacheId="23" sortOrder="descending">
      <items count="7">
        <i x="1" s="1"/>
        <i x="5" s="1"/>
        <i x="3" s="1"/>
        <i x="6" s="1"/>
        <i x="2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00000000-0014-0000-FFFF-FFFF01000000}" cache="SegmentaciónDeDatos_MES" caption="MES" rowHeight="241300"/>
  <slicer name="EPS intervenida" xr10:uid="{00000000-0014-0000-FFFF-FFFF02000000}" cache="SegmentaciónDeDatos_EPS_intervenida" caption="EPS intervenida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00000000-0014-0000-FFFF-FFFF03000000}" cache="SegmentaciónDeDatos_MES" caption="MES" style="mi estilo 1" rowHeight="241300"/>
  <slicer name="EPS intervenida 3" xr10:uid="{00000000-0014-0000-FFFF-FFFF04000000}" cache="SegmentaciónDeDatos_EPS_intervenida" caption="EPS intervenida" style="mi estilo 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2" xr10:uid="{00000000-0014-0000-FFFF-FFFF05000000}" cache="SegmentaciónDeDatos_MES" caption="MES" rowHeight="241300"/>
  <slicer name="EPS intervenida 1" xr10:uid="{00000000-0014-0000-FFFF-FFFF06000000}" cache="SegmentaciónDeDatos_EPS_intervenida1" caption="EPS intervenid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475005-AD0F-4C7D-8B0C-C811BE9D4B06}" name="ConciliacionMes" displayName="ConciliacionMes" ref="I21:J25" totalsRowShown="0" headerRowDxfId="437" dataDxfId="435" headerRowBorderDxfId="436" tableBorderDxfId="434" totalsRowBorderDxfId="433" dataCellStyle="Millares">
  <autoFilter ref="I21:J25" xr:uid="{08475005-AD0F-4C7D-8B0C-C811BE9D4B06}"/>
  <tableColumns count="2">
    <tableColumn id="1" xr3:uid="{6950AD93-5A8C-4AAF-8277-1F9E538526C7}" name="item" dataDxfId="432" dataCellStyle="Millares"/>
    <tableColumn id="2" xr3:uid="{D7A8BE13-5746-4D17-99B1-272A6746534D}" name="Valor" dataDxfId="431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DFDCD-5E9C-4145-88F8-B468B13DAAE7}" name="SaldoContable" displayName="SaldoContable" ref="C81:P88" totalsRowShown="0" headerRowDxfId="263" dataDxfId="262">
  <autoFilter ref="C81:P88" xr:uid="{690DFDCD-5E9C-4145-88F8-B468B13DAAE7}"/>
  <tableColumns count="14">
    <tableColumn id="1" xr3:uid="{88E2CCA2-7041-4595-B28D-FC20CC2E4DBB}" name="MES" dataDxfId="261" dataCellStyle="Millares"/>
    <tableColumn id="2" xr3:uid="{B18A51D5-9E5F-4FC4-A8A0-0B4CEB419174}" name="CRITERIO 1" dataDxfId="260"/>
    <tableColumn id="3" xr3:uid="{3974764C-8E5B-4DD7-9AD6-802C916800A6}" name="CRITERIO 2" dataDxfId="259"/>
    <tableColumn id="4" xr3:uid="{C65D56DB-209E-42F2-8B91-3101514E97C0}" name="CRITERIO 3" dataDxfId="258"/>
    <tableColumn id="5" xr3:uid="{748C146C-093B-425E-AF83-86AE620D2B77}" name="TOTAL PROVISIÓN MODELO PERDIDA ESPERADA" dataDxfId="257"/>
    <tableColumn id="6" xr3:uid="{8F36404C-EE37-4D2F-B1C9-9B75E45DA3A7}" name="PROVISIÓN ACTUAL" dataDxfId="256"/>
    <tableColumn id="7" xr3:uid="{5BF94969-6FBC-4BC8-90B3-94A5FE7416FB}" name="AJUSTE A LA PROVISION " dataDxfId="255"/>
    <tableColumn id="8" xr3:uid="{179A37F0-0216-40A1-B0A1-BCFF899DCD2F}" name="PROVISIÓN FINAL" dataDxfId="254"/>
    <tableColumn id="9" xr3:uid="{87A0EB0F-D0C6-4FA3-B7F8-B0284669CF1B}" name="RECAUDO" dataDxfId="253"/>
    <tableColumn id="10" xr3:uid="{BC9B9109-6821-423C-9765-F8A0F0B4D709}" name="SALDO CONTABLE POR MES" dataDxfId="252"/>
    <tableColumn id="11" xr3:uid="{7CB0141D-8DA5-44D1-8BEE-E7926DE226C1}" name="PROVISION VS CARTERA" dataDxfId="251" dataCellStyle="Porcentaje"/>
    <tableColumn id="12" xr3:uid="{4946FC8B-292F-47B6-A682-78A9D9BA7EF6}" name="TOTAL CARTERA" dataDxfId="250"/>
    <tableColumn id="13" xr3:uid="{280528D8-6B7B-489F-85CB-1F54E757E0D1}" name="RECOBRADO" dataDxfId="249"/>
    <tableColumn id="14" xr3:uid="{7CB511BB-D6E4-4E29-8105-27F15C50083E}" name="CASTIGADO" dataDxfId="2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00254-FFE1-4B26-A61D-855229EAAF98}" name="RecaudoAños" displayName="RecaudoAños" ref="C211:I223" totalsRowShown="0" headerRowDxfId="247" dataDxfId="245" headerRowBorderDxfId="246" tableBorderDxfId="244" totalsRowBorderDxfId="243" dataCellStyle="Millares">
  <autoFilter ref="C211:I223" xr:uid="{E0E00254-FFE1-4B26-A61D-855229EAAF98}"/>
  <tableColumns count="7">
    <tableColumn id="1" xr3:uid="{4C203E0F-7AD2-40F9-974E-7FA5CDCC2748}" name="Mes" dataDxfId="242"/>
    <tableColumn id="2" xr3:uid="{7A6D72DB-90D5-4B3F-82CC-D5E39C41684A}" name="Cartera 2024" dataDxfId="241" dataCellStyle="Millares"/>
    <tableColumn id="3" xr3:uid="{EAEB4CD2-1960-4A97-9B06-0FBCC7E3BD32}" name="Cartera 2025" dataDxfId="240" dataCellStyle="Millares"/>
    <tableColumn id="4" xr3:uid="{A58D71C9-A706-4D97-9CDC-F22F06304EC2}" name="Variacion cartera" dataDxfId="239" dataCellStyle="Porcentaje">
      <calculatedColumnFormula>IFERROR((E212-D212)/D212,0)</calculatedColumnFormula>
    </tableColumn>
    <tableColumn id="5" xr3:uid="{3462D8B5-A103-4A6C-98D1-78645A362108}" name="Recaudo 2024" dataDxfId="238" dataCellStyle="Millares"/>
    <tableColumn id="6" xr3:uid="{EAF3587B-5EFB-4782-8CEB-0DF430ADC94B}" name="Recaudo 2025" dataDxfId="237" dataCellStyle="Millares"/>
    <tableColumn id="7" xr3:uid="{979673B9-77BC-4C98-B486-BC4BA05BBAD3}" name="Variacion Recaudo" dataDxfId="236" dataCellStyle="Porcentaje">
      <calculatedColumnFormula>IFERROR((H212-G212)/G212,0)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72B23-1E26-4239-9818-C85723502B02}" name="RecaudoAñosSeptiembre" displayName="RecaudoAñosSeptiembre" ref="C225:G227" totalsRowShown="0" headerRowDxfId="235" tableBorderDxfId="234">
  <autoFilter ref="C225:G227" xr:uid="{67C72B23-1E26-4239-9818-C85723502B02}"/>
  <tableColumns count="5">
    <tableColumn id="1" xr3:uid="{DFCF2291-F179-4897-BEDD-CCE0D95C588F}" name="Mes" dataDxfId="233"/>
    <tableColumn id="2" xr3:uid="{0F0AAA1B-870D-4F4C-8DD8-0F6BB3BC4200}" name="Columna1" dataDxfId="232" dataCellStyle="Millares"/>
    <tableColumn id="3" xr3:uid="{F493D389-9C50-421D-BD97-A7DF7BCA7215}" name="2024" dataDxfId="231">
      <calculatedColumnFormula>+VLOOKUP(C225,C210:I222,5,0)</calculatedColumnFormula>
    </tableColumn>
    <tableColumn id="4" xr3:uid="{CB26CBC0-D5EC-4083-8D4B-7B9A4579F499}" name="2025" dataDxfId="230">
      <calculatedColumnFormula>+VLOOKUP(C225,C210:I222,6,0)</calculatedColumnFormula>
    </tableColumn>
    <tableColumn id="5" xr3:uid="{423BE975-DD2A-474A-950D-5B775B35B2C4}" name="Variacion/Disminución Recaudo ">
      <calculatedColumnFormula>+VLOOKUP(C225,C210:I222,7,0)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4.xml"/><Relationship Id="rId7" Type="http://schemas.openxmlformats.org/officeDocument/2006/relationships/vmlDrawing" Target="../drawings/vmlDrawing2.vml"/><Relationship Id="rId12" Type="http://schemas.openxmlformats.org/officeDocument/2006/relationships/comments" Target="../comments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3.xml"/><Relationship Id="rId11" Type="http://schemas.microsoft.com/office/2007/relationships/slicer" Target="../slicers/slicer1.xml"/><Relationship Id="rId5" Type="http://schemas.openxmlformats.org/officeDocument/2006/relationships/printerSettings" Target="../printerSettings/printerSettings3.bin"/><Relationship Id="rId10" Type="http://schemas.openxmlformats.org/officeDocument/2006/relationships/table" Target="../tables/table4.xml"/><Relationship Id="rId4" Type="http://schemas.openxmlformats.org/officeDocument/2006/relationships/pivotTable" Target="../pivotTables/pivotTable5.xm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Relationship Id="rId6" Type="http://schemas.openxmlformats.org/officeDocument/2006/relationships/comments" Target="../comments3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microsoft.com/office/2007/relationships/slicer" Target="../slicers/slicer3.xml"/><Relationship Id="rId3" Type="http://schemas.openxmlformats.org/officeDocument/2006/relationships/pivotTable" Target="../pivotTables/pivotTable9.xml"/><Relationship Id="rId7" Type="http://schemas.openxmlformats.org/officeDocument/2006/relationships/vmlDrawing" Target="../drawings/vmlDrawing4.v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8.bin"/><Relationship Id="rId4" Type="http://schemas.openxmlformats.org/officeDocument/2006/relationships/pivotTable" Target="../pivotTables/pivotTable10.xml"/><Relationship Id="rId9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R182"/>
  <sheetViews>
    <sheetView showGridLines="0" zoomScale="70" zoomScaleNormal="70" workbookViewId="0">
      <pane ySplit="6" topLeftCell="A68" activePane="bottomLeft" state="frozen"/>
      <selection activeCell="D33" sqref="D33"/>
      <selection pane="bottomLeft" activeCell="I82" sqref="I82"/>
    </sheetView>
  </sheetViews>
  <sheetFormatPr baseColWidth="10" defaultColWidth="10.77734375" defaultRowHeight="14.4"/>
  <cols>
    <col min="1" max="1" width="12.77734375" bestFit="1" customWidth="1"/>
    <col min="2" max="2" width="4.77734375" customWidth="1"/>
    <col min="3" max="3" width="17.21875" customWidth="1"/>
    <col min="4" max="4" width="63.21875" style="1" customWidth="1"/>
    <col min="5" max="5" width="20.77734375" style="1" customWidth="1"/>
    <col min="6" max="6" width="26.77734375" style="1" bestFit="1" customWidth="1"/>
    <col min="7" max="7" width="20.77734375" style="1" customWidth="1"/>
    <col min="8" max="8" width="15.5546875" style="1" customWidth="1"/>
    <col min="9" max="9" width="22.77734375" customWidth="1"/>
    <col min="10" max="10" width="20" customWidth="1"/>
    <col min="11" max="11" width="15.5546875" customWidth="1"/>
    <col min="12" max="12" width="15.21875" customWidth="1"/>
    <col min="13" max="13" width="24.44140625" customWidth="1"/>
    <col min="14" max="14" width="15.21875" customWidth="1"/>
    <col min="15" max="15" width="21.77734375" bestFit="1" customWidth="1"/>
    <col min="16" max="16" width="15.21875" bestFit="1" customWidth="1"/>
    <col min="17" max="17" width="15.21875" customWidth="1"/>
    <col min="18" max="18" width="16.5546875" bestFit="1" customWidth="1"/>
    <col min="19" max="19" width="15.5546875" customWidth="1"/>
    <col min="20" max="20" width="13.44140625" customWidth="1"/>
    <col min="21" max="21" width="15.77734375" customWidth="1"/>
    <col min="22" max="22" width="14" customWidth="1"/>
    <col min="23" max="23" width="16" customWidth="1"/>
  </cols>
  <sheetData>
    <row r="1" spans="1:11">
      <c r="A1">
        <v>1</v>
      </c>
      <c r="B1">
        <v>2</v>
      </c>
      <c r="C1">
        <v>3</v>
      </c>
      <c r="D1" s="1">
        <v>4</v>
      </c>
      <c r="E1" s="1">
        <v>5</v>
      </c>
      <c r="F1" s="1">
        <v>6</v>
      </c>
      <c r="G1" s="1">
        <v>7</v>
      </c>
    </row>
    <row r="3" spans="1:11" ht="18">
      <c r="A3" s="269" t="s">
        <v>0</v>
      </c>
    </row>
    <row r="4" spans="1:11" ht="18">
      <c r="A4" s="269"/>
    </row>
    <row r="6" spans="1:11" ht="28.8">
      <c r="A6" s="273" t="s">
        <v>1</v>
      </c>
      <c r="B6" s="273"/>
      <c r="C6" s="273" t="s">
        <v>2</v>
      </c>
      <c r="D6" s="274" t="s">
        <v>3</v>
      </c>
      <c r="E6" s="275" t="s">
        <v>4</v>
      </c>
      <c r="F6" s="276" t="s">
        <v>5</v>
      </c>
      <c r="G6" s="277" t="s">
        <v>6</v>
      </c>
      <c r="H6"/>
      <c r="I6" t="s">
        <v>7</v>
      </c>
    </row>
    <row r="7" spans="1:11" ht="14.55" customHeight="1">
      <c r="A7" s="140">
        <v>2021</v>
      </c>
      <c r="B7" s="140">
        <v>1</v>
      </c>
      <c r="C7" s="140" t="s">
        <v>8</v>
      </c>
      <c r="D7" s="2">
        <v>228677850</v>
      </c>
      <c r="E7" s="3">
        <v>206812943</v>
      </c>
      <c r="F7" s="2">
        <f>21615842+249065</f>
        <v>21864907</v>
      </c>
      <c r="G7" s="6">
        <f>+D7-E7-F7</f>
        <v>0</v>
      </c>
      <c r="H7" s="7">
        <f t="shared" ref="H7:H16" si="0">IFERROR(VLOOKUP(C7,I:J,2,0),0)</f>
        <v>0</v>
      </c>
      <c r="I7" s="301"/>
      <c r="J7" s="302"/>
      <c r="K7" s="5">
        <f>+E7+H7</f>
        <v>206812943</v>
      </c>
    </row>
    <row r="8" spans="1:11" ht="14.55" customHeight="1">
      <c r="A8" s="140">
        <v>2021</v>
      </c>
      <c r="B8" s="140">
        <v>2</v>
      </c>
      <c r="C8" s="140" t="s">
        <v>9</v>
      </c>
      <c r="D8" s="2">
        <v>167318433</v>
      </c>
      <c r="E8" s="3">
        <v>143733285</v>
      </c>
      <c r="F8" s="2">
        <v>23585148</v>
      </c>
      <c r="G8" s="6">
        <f t="shared" ref="G8:G13" si="1">+D8-E8-F8</f>
        <v>0</v>
      </c>
      <c r="H8" s="7">
        <f t="shared" si="0"/>
        <v>0</v>
      </c>
      <c r="I8" s="301"/>
      <c r="J8" s="302"/>
      <c r="K8" s="5">
        <f t="shared" ref="K8:K70" si="2">+E8+H8</f>
        <v>143733285</v>
      </c>
    </row>
    <row r="9" spans="1:11" ht="13.5" customHeight="1">
      <c r="A9" s="140">
        <v>2021</v>
      </c>
      <c r="B9" s="140">
        <v>3</v>
      </c>
      <c r="C9" s="140" t="s">
        <v>10</v>
      </c>
      <c r="D9" s="2">
        <v>139015532</v>
      </c>
      <c r="E9" s="3">
        <v>117354941</v>
      </c>
      <c r="F9" s="2">
        <v>21660591</v>
      </c>
      <c r="G9" s="6">
        <f t="shared" si="1"/>
        <v>0</v>
      </c>
      <c r="H9" s="7">
        <f t="shared" si="0"/>
        <v>0</v>
      </c>
      <c r="I9" s="301"/>
      <c r="J9" s="302"/>
      <c r="K9" s="5">
        <f t="shared" si="2"/>
        <v>117354941</v>
      </c>
    </row>
    <row r="10" spans="1:11" ht="14.55" customHeight="1">
      <c r="A10" s="140">
        <v>2021</v>
      </c>
      <c r="B10" s="140">
        <v>4</v>
      </c>
      <c r="C10" s="140" t="s">
        <v>11</v>
      </c>
      <c r="D10" s="2">
        <v>138688483</v>
      </c>
      <c r="E10" s="3">
        <v>119506087</v>
      </c>
      <c r="F10" s="2">
        <v>19182396</v>
      </c>
      <c r="G10" s="6">
        <f t="shared" si="1"/>
        <v>0</v>
      </c>
      <c r="H10" s="7">
        <f t="shared" si="0"/>
        <v>0</v>
      </c>
      <c r="I10" s="301"/>
      <c r="J10" s="302"/>
      <c r="K10" s="5">
        <f t="shared" si="2"/>
        <v>119506087</v>
      </c>
    </row>
    <row r="11" spans="1:11" ht="14.55" customHeight="1">
      <c r="A11" s="140">
        <v>2021</v>
      </c>
      <c r="B11" s="140">
        <v>5</v>
      </c>
      <c r="C11" s="140" t="s">
        <v>12</v>
      </c>
      <c r="D11" s="3">
        <v>155175611</v>
      </c>
      <c r="E11" s="3">
        <v>155175611</v>
      </c>
      <c r="F11" s="2"/>
      <c r="G11" s="6">
        <f t="shared" si="1"/>
        <v>0</v>
      </c>
      <c r="H11" s="7">
        <f t="shared" si="0"/>
        <v>0</v>
      </c>
      <c r="I11" s="301"/>
      <c r="J11" s="302"/>
      <c r="K11" s="5">
        <f t="shared" si="2"/>
        <v>155175611</v>
      </c>
    </row>
    <row r="12" spans="1:11" ht="14.55" customHeight="1">
      <c r="A12" s="140">
        <v>2021</v>
      </c>
      <c r="B12" s="140">
        <v>6</v>
      </c>
      <c r="C12" s="140" t="s">
        <v>13</v>
      </c>
      <c r="D12" s="2">
        <v>181387641</v>
      </c>
      <c r="E12" s="3">
        <v>181387641</v>
      </c>
      <c r="F12" s="2"/>
      <c r="G12" s="6">
        <f t="shared" si="1"/>
        <v>0</v>
      </c>
      <c r="H12" s="7">
        <f t="shared" si="0"/>
        <v>0</v>
      </c>
      <c r="I12" s="301"/>
      <c r="J12" s="302"/>
      <c r="K12" s="5">
        <f t="shared" si="2"/>
        <v>181387641</v>
      </c>
    </row>
    <row r="13" spans="1:11" ht="14.55" customHeight="1">
      <c r="A13" s="140">
        <v>2021</v>
      </c>
      <c r="B13" s="140">
        <v>7</v>
      </c>
      <c r="C13" s="140" t="s">
        <v>14</v>
      </c>
      <c r="D13" s="2">
        <v>194630191</v>
      </c>
      <c r="E13" s="3">
        <v>194630191</v>
      </c>
      <c r="F13" s="2"/>
      <c r="G13" s="6">
        <f t="shared" si="1"/>
        <v>0</v>
      </c>
      <c r="H13" s="7">
        <f t="shared" si="0"/>
        <v>0</v>
      </c>
      <c r="I13" s="301"/>
      <c r="J13" s="302"/>
      <c r="K13" s="5">
        <f t="shared" si="2"/>
        <v>194630191</v>
      </c>
    </row>
    <row r="14" spans="1:11" ht="14.55" customHeight="1">
      <c r="A14" s="140">
        <v>2021</v>
      </c>
      <c r="B14" s="140">
        <v>8</v>
      </c>
      <c r="C14" s="140" t="s">
        <v>15</v>
      </c>
      <c r="D14" s="2">
        <v>203817326</v>
      </c>
      <c r="E14" s="3">
        <f>199274165+1780520</f>
        <v>201054685</v>
      </c>
      <c r="F14" s="2"/>
      <c r="G14" s="6"/>
      <c r="H14" s="7">
        <f t="shared" si="0"/>
        <v>0</v>
      </c>
      <c r="I14" s="301"/>
      <c r="J14" s="302"/>
      <c r="K14" s="5">
        <f t="shared" si="2"/>
        <v>201054685</v>
      </c>
    </row>
    <row r="15" spans="1:11" ht="14.55" customHeight="1">
      <c r="A15" s="140">
        <v>2021</v>
      </c>
      <c r="B15" s="140">
        <v>9</v>
      </c>
      <c r="C15" s="140" t="s">
        <v>16</v>
      </c>
      <c r="D15" s="2">
        <v>188755821</v>
      </c>
      <c r="E15" s="3">
        <v>140727323</v>
      </c>
      <c r="F15" s="2"/>
      <c r="G15" s="6"/>
      <c r="H15" s="7">
        <f t="shared" si="0"/>
        <v>0</v>
      </c>
      <c r="I15" s="301"/>
      <c r="J15" s="302"/>
      <c r="K15" s="5">
        <f t="shared" si="2"/>
        <v>140727323</v>
      </c>
    </row>
    <row r="16" spans="1:11" ht="14.55" customHeight="1">
      <c r="A16" s="140">
        <v>2021</v>
      </c>
      <c r="B16" s="140">
        <v>10</v>
      </c>
      <c r="C16" s="140" t="s">
        <v>17</v>
      </c>
      <c r="D16" s="2">
        <v>171425593</v>
      </c>
      <c r="E16" s="3">
        <v>113790868</v>
      </c>
      <c r="F16" s="2">
        <v>139549274</v>
      </c>
      <c r="G16" s="10"/>
      <c r="H16" s="7">
        <f t="shared" si="0"/>
        <v>0</v>
      </c>
      <c r="I16" s="301"/>
      <c r="J16" s="302"/>
      <c r="K16" s="5">
        <f t="shared" si="2"/>
        <v>113790868</v>
      </c>
    </row>
    <row r="17" spans="1:12" ht="14.55" customHeight="1">
      <c r="A17" s="140">
        <v>2021</v>
      </c>
      <c r="B17" s="140">
        <v>11</v>
      </c>
      <c r="C17" s="140" t="s">
        <v>18</v>
      </c>
      <c r="D17" s="2">
        <v>174728669</v>
      </c>
      <c r="E17" s="3">
        <v>90399180</v>
      </c>
      <c r="F17" s="2"/>
      <c r="G17" s="10"/>
      <c r="H17" s="7"/>
      <c r="I17" s="301"/>
      <c r="J17" s="302"/>
      <c r="K17" s="5">
        <f t="shared" si="2"/>
        <v>90399180</v>
      </c>
    </row>
    <row r="18" spans="1:12" ht="14.55" customHeight="1">
      <c r="A18" s="140">
        <v>2021</v>
      </c>
      <c r="B18" s="140">
        <v>12</v>
      </c>
      <c r="C18" s="140" t="s">
        <v>19</v>
      </c>
      <c r="D18" s="2">
        <v>203843172</v>
      </c>
      <c r="E18" s="3">
        <f>185721080+90853</f>
        <v>185811933</v>
      </c>
      <c r="F18" s="2">
        <v>71237318</v>
      </c>
      <c r="G18" s="10">
        <v>0</v>
      </c>
      <c r="H18" s="7">
        <f>IFERROR(VLOOKUP(C18,I:J,2,0),0)</f>
        <v>0</v>
      </c>
      <c r="I18" s="301"/>
      <c r="J18" s="302"/>
      <c r="K18" s="5">
        <f t="shared" si="2"/>
        <v>185811933</v>
      </c>
    </row>
    <row r="19" spans="1:12">
      <c r="A19" s="9" t="s">
        <v>20</v>
      </c>
      <c r="D19" s="11">
        <f>SUM(D7:D18)</f>
        <v>2147464322</v>
      </c>
      <c r="E19" s="11">
        <f>SUM(E7:E18)</f>
        <v>1850384688</v>
      </c>
      <c r="F19" s="11">
        <f>SUM(F7:F18)</f>
        <v>297079634</v>
      </c>
      <c r="G19" s="12">
        <f>SUM(G7:G18)</f>
        <v>0</v>
      </c>
      <c r="H19" s="7"/>
      <c r="I19" s="303"/>
      <c r="J19" s="302"/>
      <c r="K19" s="5">
        <f t="shared" si="2"/>
        <v>1850384688</v>
      </c>
      <c r="L19" s="52"/>
    </row>
    <row r="20" spans="1:12" ht="14.55" customHeight="1">
      <c r="A20" s="140">
        <v>2022</v>
      </c>
      <c r="B20" s="140">
        <v>1</v>
      </c>
      <c r="C20" s="140" t="s">
        <v>8</v>
      </c>
      <c r="D20" s="2">
        <v>212488754</v>
      </c>
      <c r="E20" s="2">
        <v>196361758</v>
      </c>
      <c r="F20" s="2">
        <v>16335861</v>
      </c>
      <c r="G20" s="10"/>
      <c r="H20" s="7">
        <f t="shared" ref="H20:H31" si="3">IFERROR(VLOOKUP(C20,I:J,2,0),0)</f>
        <v>0</v>
      </c>
      <c r="I20" s="301"/>
      <c r="J20" s="302"/>
      <c r="K20" s="5">
        <f t="shared" si="2"/>
        <v>196361758</v>
      </c>
    </row>
    <row r="21" spans="1:12" ht="14.55" customHeight="1">
      <c r="A21" s="140">
        <v>2022</v>
      </c>
      <c r="B21" s="140">
        <v>2</v>
      </c>
      <c r="C21" s="140" t="s">
        <v>9</v>
      </c>
      <c r="D21" s="3">
        <v>198437111</v>
      </c>
      <c r="E21" s="2">
        <v>131882859</v>
      </c>
      <c r="F21" s="2">
        <v>66554252</v>
      </c>
      <c r="G21" s="10">
        <f t="shared" ref="G21:G31" si="4">+D21-E21-F21</f>
        <v>0</v>
      </c>
      <c r="H21" s="7">
        <f t="shared" si="3"/>
        <v>0</v>
      </c>
      <c r="I21" s="301"/>
      <c r="J21" s="302"/>
      <c r="K21" s="5">
        <f t="shared" si="2"/>
        <v>131882859</v>
      </c>
    </row>
    <row r="22" spans="1:12" ht="14.55" customHeight="1">
      <c r="A22" s="140">
        <v>2022</v>
      </c>
      <c r="B22" s="140">
        <v>3</v>
      </c>
      <c r="C22" s="140" t="s">
        <v>10</v>
      </c>
      <c r="D22" s="2">
        <v>177775379</v>
      </c>
      <c r="E22" s="2">
        <v>112397016</v>
      </c>
      <c r="F22" s="2">
        <v>65378363</v>
      </c>
      <c r="G22" s="10">
        <f t="shared" si="4"/>
        <v>0</v>
      </c>
      <c r="H22" s="7">
        <f t="shared" si="3"/>
        <v>0</v>
      </c>
      <c r="I22" s="301"/>
      <c r="J22" s="302"/>
      <c r="K22" s="5">
        <f t="shared" si="2"/>
        <v>112397016</v>
      </c>
    </row>
    <row r="23" spans="1:12" ht="14.55" customHeight="1">
      <c r="A23" s="140">
        <v>2022</v>
      </c>
      <c r="B23" s="140">
        <v>4</v>
      </c>
      <c r="C23" s="140" t="s">
        <v>11</v>
      </c>
      <c r="D23" s="2">
        <v>181086022</v>
      </c>
      <c r="E23" s="2">
        <v>160796986</v>
      </c>
      <c r="F23" s="2">
        <v>20289036</v>
      </c>
      <c r="G23" s="10">
        <f t="shared" si="4"/>
        <v>0</v>
      </c>
      <c r="H23" s="7">
        <f t="shared" si="3"/>
        <v>0</v>
      </c>
      <c r="I23" s="301"/>
      <c r="J23" s="302"/>
      <c r="K23" s="5">
        <f t="shared" si="2"/>
        <v>160796986</v>
      </c>
    </row>
    <row r="24" spans="1:12" ht="14.55" customHeight="1">
      <c r="A24" s="140">
        <v>2022</v>
      </c>
      <c r="B24" s="140">
        <v>5</v>
      </c>
      <c r="C24" s="140" t="s">
        <v>12</v>
      </c>
      <c r="D24" s="2">
        <v>163409172</v>
      </c>
      <c r="E24" s="2">
        <v>105397211</v>
      </c>
      <c r="F24" s="2">
        <v>16106923</v>
      </c>
      <c r="G24" s="10">
        <f t="shared" si="4"/>
        <v>41905038</v>
      </c>
      <c r="H24" s="7">
        <f t="shared" si="3"/>
        <v>0</v>
      </c>
      <c r="I24" s="301"/>
      <c r="J24" s="302"/>
      <c r="K24" s="5">
        <f t="shared" si="2"/>
        <v>105397211</v>
      </c>
    </row>
    <row r="25" spans="1:12" ht="14.55" customHeight="1">
      <c r="A25" s="140">
        <v>2022</v>
      </c>
      <c r="B25" s="140">
        <v>6</v>
      </c>
      <c r="C25" s="140" t="s">
        <v>13</v>
      </c>
      <c r="D25" s="2">
        <v>164138948</v>
      </c>
      <c r="E25" s="2">
        <v>164504464</v>
      </c>
      <c r="F25" s="2"/>
      <c r="G25" s="10">
        <v>242272</v>
      </c>
      <c r="H25" s="4">
        <f t="shared" si="3"/>
        <v>0</v>
      </c>
      <c r="I25" s="301"/>
      <c r="J25" s="304"/>
      <c r="K25" s="5">
        <f t="shared" si="2"/>
        <v>164504464</v>
      </c>
    </row>
    <row r="26" spans="1:12" ht="14.55" customHeight="1">
      <c r="A26" s="140">
        <v>2022</v>
      </c>
      <c r="B26" s="140">
        <v>7</v>
      </c>
      <c r="C26" s="140" t="s">
        <v>14</v>
      </c>
      <c r="D26" s="2">
        <v>159004265</v>
      </c>
      <c r="E26" s="2">
        <v>159004265</v>
      </c>
      <c r="F26" s="2"/>
      <c r="G26" s="10">
        <f t="shared" si="4"/>
        <v>0</v>
      </c>
      <c r="H26" s="4">
        <f t="shared" si="3"/>
        <v>0</v>
      </c>
      <c r="I26" s="301"/>
      <c r="J26" s="302"/>
      <c r="K26" s="5">
        <f t="shared" si="2"/>
        <v>159004265</v>
      </c>
    </row>
    <row r="27" spans="1:12" ht="14.55" customHeight="1">
      <c r="A27" s="140">
        <v>2022</v>
      </c>
      <c r="B27" s="140">
        <v>8</v>
      </c>
      <c r="C27" s="140" t="s">
        <v>15</v>
      </c>
      <c r="D27" s="2">
        <v>184132744</v>
      </c>
      <c r="E27" s="2">
        <v>179271571</v>
      </c>
      <c r="F27" s="2"/>
      <c r="G27" s="10">
        <f t="shared" si="4"/>
        <v>4861173</v>
      </c>
      <c r="H27" s="4">
        <f t="shared" si="3"/>
        <v>0</v>
      </c>
      <c r="I27" s="301"/>
      <c r="J27" s="302"/>
      <c r="K27" s="5">
        <f t="shared" si="2"/>
        <v>179271571</v>
      </c>
    </row>
    <row r="28" spans="1:12" ht="14.55" customHeight="1">
      <c r="A28" s="140">
        <v>2022</v>
      </c>
      <c r="B28" s="140">
        <v>9</v>
      </c>
      <c r="C28" s="140" t="s">
        <v>16</v>
      </c>
      <c r="D28" s="2">
        <v>191941491</v>
      </c>
      <c r="E28" s="2">
        <v>160653276</v>
      </c>
      <c r="F28" s="2"/>
      <c r="G28" s="10">
        <f t="shared" si="4"/>
        <v>31288215</v>
      </c>
      <c r="H28" s="4">
        <f t="shared" si="3"/>
        <v>0</v>
      </c>
      <c r="I28" s="301"/>
      <c r="J28" s="302"/>
      <c r="K28" s="5">
        <f t="shared" si="2"/>
        <v>160653276</v>
      </c>
    </row>
    <row r="29" spans="1:12" ht="14.55" customHeight="1">
      <c r="A29" s="140">
        <v>2022</v>
      </c>
      <c r="B29" s="140">
        <v>10</v>
      </c>
      <c r="C29" s="140" t="s">
        <v>17</v>
      </c>
      <c r="D29" s="2">
        <v>189131114</v>
      </c>
      <c r="E29" s="2">
        <v>142101245</v>
      </c>
      <c r="F29" s="2"/>
      <c r="G29" s="10">
        <f t="shared" si="4"/>
        <v>47029869</v>
      </c>
      <c r="H29" s="4">
        <f t="shared" si="3"/>
        <v>0</v>
      </c>
      <c r="I29" s="301"/>
      <c r="J29" s="302"/>
      <c r="K29" s="5">
        <f t="shared" si="2"/>
        <v>142101245</v>
      </c>
    </row>
    <row r="30" spans="1:12" ht="14.55" customHeight="1">
      <c r="A30" s="140">
        <v>2022</v>
      </c>
      <c r="B30" s="140">
        <v>11</v>
      </c>
      <c r="C30" s="140" t="s">
        <v>18</v>
      </c>
      <c r="D30" s="2">
        <v>185604400</v>
      </c>
      <c r="E30" s="2">
        <v>185604400</v>
      </c>
      <c r="F30" s="2"/>
      <c r="G30" s="10">
        <f t="shared" si="4"/>
        <v>0</v>
      </c>
      <c r="H30" s="4">
        <f t="shared" si="3"/>
        <v>0</v>
      </c>
      <c r="I30" s="301"/>
      <c r="J30" s="302"/>
      <c r="K30" s="5">
        <f t="shared" si="2"/>
        <v>185604400</v>
      </c>
    </row>
    <row r="31" spans="1:12" ht="14.55" customHeight="1">
      <c r="A31" s="140">
        <v>2022</v>
      </c>
      <c r="B31" s="140">
        <v>12</v>
      </c>
      <c r="C31" s="140" t="s">
        <v>19</v>
      </c>
      <c r="D31" s="2">
        <v>174083427</v>
      </c>
      <c r="E31" s="2">
        <v>153199681</v>
      </c>
      <c r="F31" s="2"/>
      <c r="G31" s="10">
        <f t="shared" si="4"/>
        <v>20883746</v>
      </c>
      <c r="H31" s="4">
        <f t="shared" si="3"/>
        <v>0</v>
      </c>
      <c r="I31" s="301"/>
      <c r="J31" s="302"/>
      <c r="K31" s="5">
        <f t="shared" si="2"/>
        <v>153199681</v>
      </c>
    </row>
    <row r="32" spans="1:12">
      <c r="A32" s="9" t="s">
        <v>21</v>
      </c>
      <c r="D32" s="11">
        <f>SUM(D20:D31)</f>
        <v>2181232827</v>
      </c>
      <c r="E32" s="11">
        <f>SUM(E20:E31)</f>
        <v>1851174732</v>
      </c>
      <c r="F32" s="11">
        <f>SUM(F20:F31)</f>
        <v>184664435</v>
      </c>
      <c r="G32" s="10">
        <f>SUM(G20:G31)</f>
        <v>146210313</v>
      </c>
      <c r="H32" s="12"/>
      <c r="I32" s="303"/>
      <c r="J32" s="304"/>
      <c r="K32" s="5">
        <f t="shared" si="2"/>
        <v>1851174732</v>
      </c>
    </row>
    <row r="33" spans="1:11" ht="14.55" customHeight="1">
      <c r="A33" s="140">
        <v>2023</v>
      </c>
      <c r="B33" s="140">
        <v>1</v>
      </c>
      <c r="C33" s="140" t="s">
        <v>8</v>
      </c>
      <c r="D33" s="2">
        <v>167819373</v>
      </c>
      <c r="E33" s="2">
        <v>167819373</v>
      </c>
      <c r="F33" s="2"/>
      <c r="G33" s="2">
        <f t="shared" ref="G33:G44" si="5">+D33-E33-F33</f>
        <v>0</v>
      </c>
      <c r="H33" s="4">
        <f t="shared" ref="H33:H44" si="6">IFERROR(VLOOKUP(C33,I:J,2,0),0)</f>
        <v>0</v>
      </c>
      <c r="I33" s="301"/>
      <c r="J33" s="304"/>
      <c r="K33" s="5">
        <f t="shared" si="2"/>
        <v>167819373</v>
      </c>
    </row>
    <row r="34" spans="1:11" ht="14.55" customHeight="1">
      <c r="A34" s="140">
        <v>2023</v>
      </c>
      <c r="B34" s="140">
        <v>2</v>
      </c>
      <c r="C34" s="140" t="s">
        <v>9</v>
      </c>
      <c r="D34" s="3">
        <v>231383519</v>
      </c>
      <c r="E34" s="2">
        <v>190108513</v>
      </c>
      <c r="F34" s="2"/>
      <c r="G34" s="10">
        <f t="shared" si="5"/>
        <v>41275006</v>
      </c>
      <c r="H34" s="4">
        <f t="shared" si="6"/>
        <v>0</v>
      </c>
      <c r="I34" s="301"/>
      <c r="J34" s="304"/>
      <c r="K34" s="5">
        <f t="shared" si="2"/>
        <v>190108513</v>
      </c>
    </row>
    <row r="35" spans="1:11" ht="14.55" customHeight="1">
      <c r="A35" s="140">
        <v>2023</v>
      </c>
      <c r="B35" s="140">
        <v>3</v>
      </c>
      <c r="C35" s="140" t="s">
        <v>10</v>
      </c>
      <c r="D35" s="2">
        <v>229546462</v>
      </c>
      <c r="E35" s="2">
        <v>224985751</v>
      </c>
      <c r="F35" s="2"/>
      <c r="G35" s="10">
        <f t="shared" si="5"/>
        <v>4560711</v>
      </c>
      <c r="H35" s="4">
        <f t="shared" si="6"/>
        <v>0</v>
      </c>
      <c r="I35" s="301"/>
      <c r="J35" s="304"/>
      <c r="K35" s="5">
        <f t="shared" si="2"/>
        <v>224985751</v>
      </c>
    </row>
    <row r="36" spans="1:11" ht="14.55" customHeight="1">
      <c r="A36" s="140">
        <v>2023</v>
      </c>
      <c r="B36" s="140">
        <v>4</v>
      </c>
      <c r="C36" s="140" t="s">
        <v>11</v>
      </c>
      <c r="D36" s="2">
        <v>212201656</v>
      </c>
      <c r="E36" s="2">
        <v>172164072</v>
      </c>
      <c r="F36" s="2"/>
      <c r="G36" s="10">
        <f t="shared" si="5"/>
        <v>40037584</v>
      </c>
      <c r="H36" s="4">
        <f t="shared" si="6"/>
        <v>0</v>
      </c>
      <c r="I36" s="301"/>
      <c r="J36" s="304"/>
      <c r="K36" s="5">
        <f t="shared" si="2"/>
        <v>172164072</v>
      </c>
    </row>
    <row r="37" spans="1:11" ht="14.55" customHeight="1">
      <c r="A37" s="140">
        <v>2023</v>
      </c>
      <c r="B37" s="140">
        <v>5</v>
      </c>
      <c r="C37" s="140" t="s">
        <v>12</v>
      </c>
      <c r="D37" s="2">
        <v>193403835</v>
      </c>
      <c r="E37" s="2">
        <v>165824586</v>
      </c>
      <c r="F37" s="2"/>
      <c r="G37" s="10">
        <f t="shared" si="5"/>
        <v>27579249</v>
      </c>
      <c r="H37" s="4">
        <f t="shared" si="6"/>
        <v>0</v>
      </c>
      <c r="I37" s="301"/>
      <c r="J37" s="304"/>
      <c r="K37" s="5">
        <f t="shared" si="2"/>
        <v>165824586</v>
      </c>
    </row>
    <row r="38" spans="1:11" ht="14.55" customHeight="1">
      <c r="A38" s="140">
        <v>2023</v>
      </c>
      <c r="B38" s="140">
        <v>6</v>
      </c>
      <c r="C38" s="140" t="s">
        <v>13</v>
      </c>
      <c r="D38" s="2">
        <v>226660411</v>
      </c>
      <c r="E38" s="2">
        <v>155108412</v>
      </c>
      <c r="F38" s="2"/>
      <c r="G38" s="10">
        <f t="shared" si="5"/>
        <v>71551999</v>
      </c>
      <c r="H38" s="4">
        <f t="shared" si="6"/>
        <v>0</v>
      </c>
      <c r="I38" s="301"/>
      <c r="J38" s="304"/>
      <c r="K38" s="5">
        <f t="shared" si="2"/>
        <v>155108412</v>
      </c>
    </row>
    <row r="39" spans="1:11" ht="14.55" customHeight="1">
      <c r="A39" s="140">
        <v>2023</v>
      </c>
      <c r="B39" s="140">
        <v>7</v>
      </c>
      <c r="C39" s="140" t="s">
        <v>14</v>
      </c>
      <c r="D39" s="2">
        <v>245907751</v>
      </c>
      <c r="E39" s="2">
        <v>245907751</v>
      </c>
      <c r="F39" s="2"/>
      <c r="G39" s="10">
        <f t="shared" si="5"/>
        <v>0</v>
      </c>
      <c r="H39" s="4">
        <f t="shared" si="6"/>
        <v>0</v>
      </c>
      <c r="I39" s="301"/>
      <c r="J39" s="304"/>
      <c r="K39" s="5">
        <f t="shared" si="2"/>
        <v>245907751</v>
      </c>
    </row>
    <row r="40" spans="1:11" ht="14.55" customHeight="1">
      <c r="A40" s="140">
        <v>2023</v>
      </c>
      <c r="B40" s="140">
        <v>8</v>
      </c>
      <c r="C40" s="140" t="s">
        <v>15</v>
      </c>
      <c r="D40" s="3">
        <v>208099142</v>
      </c>
      <c r="E40" s="2">
        <v>191348765</v>
      </c>
      <c r="F40" s="2"/>
      <c r="G40" s="10">
        <f t="shared" si="5"/>
        <v>16750377</v>
      </c>
      <c r="H40" s="4">
        <f t="shared" si="6"/>
        <v>0</v>
      </c>
      <c r="I40" s="301"/>
      <c r="J40" s="304"/>
      <c r="K40" s="5">
        <f t="shared" si="2"/>
        <v>191348765</v>
      </c>
    </row>
    <row r="41" spans="1:11" ht="14.55" customHeight="1">
      <c r="A41" s="140">
        <v>2023</v>
      </c>
      <c r="B41" s="140">
        <v>9</v>
      </c>
      <c r="C41" s="140" t="s">
        <v>16</v>
      </c>
      <c r="D41" s="3">
        <v>206599433</v>
      </c>
      <c r="E41" s="2">
        <v>206599433</v>
      </c>
      <c r="F41" s="2"/>
      <c r="G41" s="10">
        <f t="shared" si="5"/>
        <v>0</v>
      </c>
      <c r="H41" s="4">
        <f t="shared" si="6"/>
        <v>0</v>
      </c>
      <c r="I41" s="301"/>
      <c r="J41" s="304"/>
      <c r="K41" s="5">
        <f t="shared" si="2"/>
        <v>206599433</v>
      </c>
    </row>
    <row r="42" spans="1:11" ht="14.55" customHeight="1">
      <c r="A42" s="140">
        <v>2023</v>
      </c>
      <c r="B42" s="140">
        <v>10</v>
      </c>
      <c r="C42" s="140" t="s">
        <v>17</v>
      </c>
      <c r="D42" s="3">
        <v>194176254</v>
      </c>
      <c r="E42" s="2">
        <v>190780768</v>
      </c>
      <c r="F42" s="2"/>
      <c r="G42" s="10">
        <f t="shared" si="5"/>
        <v>3395486</v>
      </c>
      <c r="H42" s="4">
        <f t="shared" si="6"/>
        <v>0</v>
      </c>
      <c r="I42" s="301"/>
      <c r="J42" s="304"/>
      <c r="K42" s="5">
        <f t="shared" si="2"/>
        <v>190780768</v>
      </c>
    </row>
    <row r="43" spans="1:11" ht="14.55" customHeight="1">
      <c r="A43" s="140">
        <v>2023</v>
      </c>
      <c r="B43" s="140">
        <v>11</v>
      </c>
      <c r="C43" s="140" t="s">
        <v>18</v>
      </c>
      <c r="D43" s="3">
        <v>179386564</v>
      </c>
      <c r="E43" s="2">
        <v>135185437</v>
      </c>
      <c r="F43" s="2"/>
      <c r="G43" s="10">
        <f t="shared" si="5"/>
        <v>44201127</v>
      </c>
      <c r="H43" s="4">
        <f t="shared" si="6"/>
        <v>0</v>
      </c>
      <c r="I43" s="301"/>
      <c r="J43" s="304"/>
      <c r="K43" s="5">
        <f t="shared" si="2"/>
        <v>135185437</v>
      </c>
    </row>
    <row r="44" spans="1:11" ht="14.55" customHeight="1">
      <c r="A44" s="140">
        <v>2023</v>
      </c>
      <c r="B44" s="140">
        <v>12</v>
      </c>
      <c r="C44" s="140" t="s">
        <v>19</v>
      </c>
      <c r="D44" s="3">
        <v>162052068</v>
      </c>
      <c r="E44" s="2">
        <v>75617395</v>
      </c>
      <c r="F44" s="2"/>
      <c r="G44" s="10">
        <f t="shared" si="5"/>
        <v>86434673</v>
      </c>
      <c r="H44" s="4">
        <f t="shared" si="6"/>
        <v>0</v>
      </c>
      <c r="I44" s="301"/>
      <c r="J44" s="304"/>
      <c r="K44" s="5">
        <f t="shared" si="2"/>
        <v>75617395</v>
      </c>
    </row>
    <row r="45" spans="1:11" ht="16.5" customHeight="1">
      <c r="A45" s="9" t="s">
        <v>22</v>
      </c>
      <c r="D45" s="11">
        <f>SUM(D33:D44)</f>
        <v>2457236468</v>
      </c>
      <c r="E45" s="11">
        <f>SUM(E33:E44)</f>
        <v>2121450256</v>
      </c>
      <c r="F45" s="11">
        <f>SUM(F33:F44)</f>
        <v>0</v>
      </c>
      <c r="G45" s="11">
        <f>SUM(G33:G44)</f>
        <v>335786212</v>
      </c>
      <c r="H45" s="11"/>
      <c r="I45" s="303"/>
      <c r="J45" s="305"/>
      <c r="K45" s="5">
        <f t="shared" si="2"/>
        <v>2121450256</v>
      </c>
    </row>
    <row r="46" spans="1:11" ht="14.1" customHeight="1">
      <c r="A46" s="140">
        <v>2024</v>
      </c>
      <c r="B46" s="140">
        <v>1</v>
      </c>
      <c r="C46" s="140" t="s">
        <v>8</v>
      </c>
      <c r="D46" s="3">
        <v>192806559</v>
      </c>
      <c r="E46" s="3">
        <v>160153993</v>
      </c>
      <c r="F46" s="2"/>
      <c r="G46" s="2">
        <f t="shared" ref="G46:G70" si="7">+D46-E46-F46</f>
        <v>32652566</v>
      </c>
      <c r="H46" s="4">
        <f t="shared" ref="H46:H70" si="8">IFERROR(VLOOKUP(C46,I:J,2,0),0)</f>
        <v>0</v>
      </c>
      <c r="I46" s="301"/>
      <c r="J46" s="302"/>
      <c r="K46" s="5">
        <f t="shared" si="2"/>
        <v>160153993</v>
      </c>
    </row>
    <row r="47" spans="1:11" ht="14.55" customHeight="1">
      <c r="A47" s="140">
        <v>2024</v>
      </c>
      <c r="B47" s="140">
        <v>2</v>
      </c>
      <c r="C47" s="140" t="s">
        <v>9</v>
      </c>
      <c r="D47" s="3">
        <v>194880042</v>
      </c>
      <c r="E47" s="3">
        <v>131710556</v>
      </c>
      <c r="F47" s="2"/>
      <c r="G47" s="10">
        <f t="shared" si="7"/>
        <v>63169486</v>
      </c>
      <c r="H47" s="4">
        <f t="shared" si="8"/>
        <v>0</v>
      </c>
      <c r="I47" s="301"/>
      <c r="J47" s="302"/>
      <c r="K47" s="5">
        <f t="shared" si="2"/>
        <v>131710556</v>
      </c>
    </row>
    <row r="48" spans="1:11" ht="14.55" customHeight="1">
      <c r="A48" s="140">
        <v>2024</v>
      </c>
      <c r="B48" s="140">
        <v>3</v>
      </c>
      <c r="C48" s="140" t="s">
        <v>10</v>
      </c>
      <c r="D48" s="2">
        <v>180005716</v>
      </c>
      <c r="E48" s="2">
        <v>175223332</v>
      </c>
      <c r="F48" s="2"/>
      <c r="G48" s="10">
        <f t="shared" si="7"/>
        <v>4782384</v>
      </c>
      <c r="H48" s="4">
        <f t="shared" si="8"/>
        <v>0</v>
      </c>
      <c r="I48" s="301"/>
      <c r="J48" s="302"/>
      <c r="K48" s="5">
        <f t="shared" si="2"/>
        <v>175223332</v>
      </c>
    </row>
    <row r="49" spans="1:11" ht="13.5" customHeight="1">
      <c r="A49" s="140">
        <v>2024</v>
      </c>
      <c r="B49" s="140">
        <v>4</v>
      </c>
      <c r="C49" s="140" t="s">
        <v>11</v>
      </c>
      <c r="D49" s="2">
        <v>174085604</v>
      </c>
      <c r="E49" s="2">
        <v>174085604</v>
      </c>
      <c r="F49" s="2"/>
      <c r="G49" s="10">
        <f>+D49-E49-F49</f>
        <v>0</v>
      </c>
      <c r="H49" s="4">
        <f t="shared" si="8"/>
        <v>0</v>
      </c>
      <c r="I49" s="301"/>
      <c r="J49" s="302"/>
      <c r="K49" s="5">
        <f t="shared" si="2"/>
        <v>174085604</v>
      </c>
    </row>
    <row r="50" spans="1:11" ht="14.55" customHeight="1">
      <c r="A50" s="140">
        <v>2024</v>
      </c>
      <c r="B50" s="140">
        <v>5</v>
      </c>
      <c r="C50" s="140" t="s">
        <v>12</v>
      </c>
      <c r="D50" s="2">
        <v>211340362</v>
      </c>
      <c r="E50" s="2">
        <v>112338228</v>
      </c>
      <c r="F50" s="2"/>
      <c r="G50" s="10">
        <f>+D50-E50-F50</f>
        <v>99002134</v>
      </c>
      <c r="H50" s="4">
        <f t="shared" si="8"/>
        <v>0</v>
      </c>
      <c r="I50" s="301"/>
      <c r="J50" s="302"/>
      <c r="K50" s="5">
        <f t="shared" si="2"/>
        <v>112338228</v>
      </c>
    </row>
    <row r="51" spans="1:11" ht="14.55" customHeight="1">
      <c r="A51" s="140">
        <v>2024</v>
      </c>
      <c r="B51" s="140">
        <v>6</v>
      </c>
      <c r="C51" s="140" t="s">
        <v>13</v>
      </c>
      <c r="D51" s="2">
        <v>217237506</v>
      </c>
      <c r="E51" s="2">
        <v>112502344</v>
      </c>
      <c r="F51" s="2"/>
      <c r="G51" s="10">
        <f>+D51-E51-F51</f>
        <v>104735162</v>
      </c>
      <c r="H51" s="4">
        <f t="shared" si="8"/>
        <v>0</v>
      </c>
      <c r="I51" s="301"/>
      <c r="J51" s="302"/>
      <c r="K51" s="5">
        <f t="shared" si="2"/>
        <v>112502344</v>
      </c>
    </row>
    <row r="52" spans="1:11" ht="14.55" customHeight="1">
      <c r="A52" s="140">
        <v>2024</v>
      </c>
      <c r="B52" s="140">
        <v>7</v>
      </c>
      <c r="C52" s="140" t="s">
        <v>14</v>
      </c>
      <c r="D52" s="2">
        <v>204350015</v>
      </c>
      <c r="E52" s="2">
        <v>131040461</v>
      </c>
      <c r="F52" s="2"/>
      <c r="G52" s="10">
        <f t="shared" si="7"/>
        <v>73309554</v>
      </c>
      <c r="H52" s="4">
        <f t="shared" si="8"/>
        <v>0</v>
      </c>
      <c r="I52" s="301"/>
      <c r="J52" s="302"/>
      <c r="K52" s="5">
        <f t="shared" si="2"/>
        <v>131040461</v>
      </c>
    </row>
    <row r="53" spans="1:11" ht="14.55" customHeight="1">
      <c r="A53" s="140">
        <v>2024</v>
      </c>
      <c r="B53" s="140">
        <v>8</v>
      </c>
      <c r="C53" s="140" t="s">
        <v>15</v>
      </c>
      <c r="D53" s="3">
        <v>256131617</v>
      </c>
      <c r="E53" s="3">
        <v>239873148</v>
      </c>
      <c r="F53" s="2"/>
      <c r="G53" s="10">
        <f t="shared" si="7"/>
        <v>16258469</v>
      </c>
      <c r="H53" s="4">
        <f t="shared" si="8"/>
        <v>0</v>
      </c>
      <c r="I53" s="301"/>
      <c r="J53" s="302"/>
      <c r="K53" s="5">
        <f t="shared" si="2"/>
        <v>239873148</v>
      </c>
    </row>
    <row r="54" spans="1:11" ht="14.55" customHeight="1">
      <c r="A54" s="140">
        <v>2024</v>
      </c>
      <c r="B54" s="140">
        <v>9</v>
      </c>
      <c r="C54" s="140" t="s">
        <v>16</v>
      </c>
      <c r="D54" s="3">
        <v>189273422</v>
      </c>
      <c r="E54" s="2">
        <v>69573399</v>
      </c>
      <c r="F54" s="2"/>
      <c r="G54" s="10">
        <f t="shared" si="7"/>
        <v>119700023</v>
      </c>
      <c r="H54" s="4">
        <f t="shared" si="8"/>
        <v>0</v>
      </c>
      <c r="I54" s="301"/>
      <c r="J54" s="302"/>
      <c r="K54" s="5">
        <f t="shared" si="2"/>
        <v>69573399</v>
      </c>
    </row>
    <row r="55" spans="1:11" ht="14.55" customHeight="1">
      <c r="A55" s="140">
        <v>2024</v>
      </c>
      <c r="B55" s="140">
        <v>10</v>
      </c>
      <c r="C55" s="140" t="s">
        <v>17</v>
      </c>
      <c r="D55" s="3">
        <v>206352915</v>
      </c>
      <c r="E55" s="2">
        <v>206352915</v>
      </c>
      <c r="F55" s="2"/>
      <c r="G55" s="10">
        <f t="shared" si="7"/>
        <v>0</v>
      </c>
      <c r="H55" s="4">
        <f t="shared" si="8"/>
        <v>0</v>
      </c>
      <c r="I55" s="301"/>
      <c r="J55" s="302"/>
      <c r="K55" s="5">
        <f t="shared" si="2"/>
        <v>206352915</v>
      </c>
    </row>
    <row r="56" spans="1:11" ht="14.1" customHeight="1">
      <c r="A56" s="140">
        <v>2024</v>
      </c>
      <c r="B56" s="140">
        <v>11</v>
      </c>
      <c r="C56" s="140" t="s">
        <v>18</v>
      </c>
      <c r="D56" s="3">
        <v>241122278</v>
      </c>
      <c r="E56" s="3">
        <v>241122278</v>
      </c>
      <c r="F56" s="2"/>
      <c r="G56" s="10">
        <f t="shared" si="7"/>
        <v>0</v>
      </c>
      <c r="H56" s="4">
        <f t="shared" si="8"/>
        <v>0</v>
      </c>
      <c r="I56" s="301"/>
      <c r="J56" s="302"/>
      <c r="K56" s="5">
        <f t="shared" si="2"/>
        <v>241122278</v>
      </c>
    </row>
    <row r="57" spans="1:11" ht="14.55" customHeight="1">
      <c r="A57" s="140">
        <v>2024</v>
      </c>
      <c r="B57" s="140">
        <v>12</v>
      </c>
      <c r="C57" s="140" t="s">
        <v>19</v>
      </c>
      <c r="D57" s="3">
        <v>224626908</v>
      </c>
      <c r="E57" s="3">
        <v>224626908</v>
      </c>
      <c r="F57" s="2"/>
      <c r="G57" s="10">
        <f t="shared" si="7"/>
        <v>0</v>
      </c>
      <c r="H57" s="4">
        <f t="shared" si="8"/>
        <v>0</v>
      </c>
      <c r="I57" s="301"/>
      <c r="J57" s="302"/>
      <c r="K57" s="5">
        <f t="shared" si="2"/>
        <v>224626908</v>
      </c>
    </row>
    <row r="58" spans="1:11">
      <c r="A58" s="9" t="s">
        <v>23</v>
      </c>
      <c r="D58" s="11">
        <f>SUM(D46:D57)</f>
        <v>2492212944</v>
      </c>
      <c r="E58" s="11">
        <f>SUM(E46:E57)</f>
        <v>1978603166</v>
      </c>
      <c r="F58" s="11">
        <f>SUM(F46:F57)</f>
        <v>0</v>
      </c>
      <c r="G58" s="12">
        <f>SUM(G46:G57)</f>
        <v>513609778</v>
      </c>
      <c r="H58" s="4">
        <f t="shared" si="8"/>
        <v>0</v>
      </c>
      <c r="I58" s="302"/>
      <c r="J58" s="302"/>
      <c r="K58" s="5">
        <f t="shared" si="2"/>
        <v>1978603166</v>
      </c>
    </row>
    <row r="59" spans="1:11" ht="14.55" customHeight="1">
      <c r="A59" s="140">
        <v>2025</v>
      </c>
      <c r="B59" s="140">
        <v>1</v>
      </c>
      <c r="C59" s="140" t="s">
        <v>8</v>
      </c>
      <c r="D59" s="3">
        <v>262139144</v>
      </c>
      <c r="E59" s="3">
        <v>199523475</v>
      </c>
      <c r="F59" s="2"/>
      <c r="G59" s="2">
        <f t="shared" si="7"/>
        <v>62615669</v>
      </c>
      <c r="H59" s="4">
        <f t="shared" si="8"/>
        <v>0</v>
      </c>
      <c r="I59" s="301"/>
      <c r="J59" s="302"/>
      <c r="K59" s="5">
        <f t="shared" si="2"/>
        <v>199523475</v>
      </c>
    </row>
    <row r="60" spans="1:11" ht="14.55" customHeight="1">
      <c r="A60" s="140">
        <v>2025</v>
      </c>
      <c r="B60" s="140">
        <v>2</v>
      </c>
      <c r="C60" s="140" t="s">
        <v>9</v>
      </c>
      <c r="D60" s="3">
        <v>298312397</v>
      </c>
      <c r="E60" s="3">
        <v>229670860</v>
      </c>
      <c r="F60" s="2"/>
      <c r="G60" s="10">
        <f t="shared" si="7"/>
        <v>68641537</v>
      </c>
      <c r="H60" s="4">
        <f t="shared" si="8"/>
        <v>0</v>
      </c>
      <c r="I60" s="301"/>
      <c r="J60" s="302"/>
      <c r="K60" s="5">
        <f t="shared" si="2"/>
        <v>229670860</v>
      </c>
    </row>
    <row r="61" spans="1:11" ht="14.55" customHeight="1">
      <c r="A61" s="140">
        <v>2025</v>
      </c>
      <c r="B61" s="140">
        <v>3</v>
      </c>
      <c r="C61" s="140" t="s">
        <v>10</v>
      </c>
      <c r="D61" s="3">
        <v>239533077</v>
      </c>
      <c r="E61" s="3">
        <v>164291959</v>
      </c>
      <c r="F61" s="2"/>
      <c r="G61" s="10">
        <f t="shared" si="7"/>
        <v>75241118</v>
      </c>
      <c r="H61" s="4">
        <f t="shared" si="8"/>
        <v>0</v>
      </c>
      <c r="I61" s="301"/>
      <c r="J61" s="302"/>
      <c r="K61" s="5">
        <f t="shared" si="2"/>
        <v>164291959</v>
      </c>
    </row>
    <row r="62" spans="1:11" ht="14.55" customHeight="1">
      <c r="A62" s="140">
        <v>2025</v>
      </c>
      <c r="B62" s="140">
        <v>4</v>
      </c>
      <c r="C62" s="140" t="s">
        <v>11</v>
      </c>
      <c r="D62" s="3">
        <v>260363532</v>
      </c>
      <c r="E62" s="3">
        <v>200532114</v>
      </c>
      <c r="F62" s="2"/>
      <c r="G62" s="10">
        <f t="shared" si="7"/>
        <v>59831418</v>
      </c>
      <c r="H62" s="4">
        <f t="shared" si="8"/>
        <v>0</v>
      </c>
      <c r="I62" s="301"/>
      <c r="J62" s="302"/>
      <c r="K62" s="5">
        <f t="shared" si="2"/>
        <v>200532114</v>
      </c>
    </row>
    <row r="63" spans="1:11" ht="14.55" customHeight="1">
      <c r="A63" s="140">
        <v>2025</v>
      </c>
      <c r="B63" s="140">
        <v>5</v>
      </c>
      <c r="C63" s="140" t="s">
        <v>12</v>
      </c>
      <c r="D63" s="3">
        <v>252838984</v>
      </c>
      <c r="E63" s="3">
        <v>200850938</v>
      </c>
      <c r="F63" s="2"/>
      <c r="G63" s="10">
        <f t="shared" si="7"/>
        <v>51988046</v>
      </c>
      <c r="H63" s="4">
        <f t="shared" si="8"/>
        <v>0</v>
      </c>
      <c r="I63" s="301"/>
      <c r="J63" s="302"/>
      <c r="K63" s="5">
        <f t="shared" si="2"/>
        <v>200850938</v>
      </c>
    </row>
    <row r="64" spans="1:11" ht="14.55" customHeight="1">
      <c r="A64" s="140">
        <v>2025</v>
      </c>
      <c r="B64" s="140">
        <v>6</v>
      </c>
      <c r="C64" s="140" t="s">
        <v>13</v>
      </c>
      <c r="D64" s="3">
        <v>259312318</v>
      </c>
      <c r="E64" s="3">
        <v>222392952</v>
      </c>
      <c r="F64" s="2"/>
      <c r="G64" s="10">
        <f t="shared" si="7"/>
        <v>36919366</v>
      </c>
      <c r="H64" s="4">
        <f t="shared" si="8"/>
        <v>0</v>
      </c>
      <c r="I64" s="301"/>
      <c r="J64" s="302"/>
      <c r="K64" s="5">
        <f t="shared" si="2"/>
        <v>222392952</v>
      </c>
    </row>
    <row r="65" spans="1:18" ht="14.55" customHeight="1">
      <c r="A65" s="140">
        <v>2025</v>
      </c>
      <c r="B65" s="140">
        <v>7</v>
      </c>
      <c r="C65" s="140" t="s">
        <v>14</v>
      </c>
      <c r="D65" s="3">
        <v>225693925</v>
      </c>
      <c r="E65" s="3">
        <v>225693925</v>
      </c>
      <c r="F65" s="2"/>
      <c r="G65" s="10">
        <f t="shared" si="7"/>
        <v>0</v>
      </c>
      <c r="H65" s="4">
        <f t="shared" si="8"/>
        <v>0</v>
      </c>
      <c r="I65" s="301"/>
      <c r="J65" s="304"/>
      <c r="K65" s="5">
        <f t="shared" si="2"/>
        <v>225693925</v>
      </c>
    </row>
    <row r="66" spans="1:18" ht="14.55" customHeight="1">
      <c r="A66" s="140">
        <v>2025</v>
      </c>
      <c r="B66" s="140">
        <v>8</v>
      </c>
      <c r="C66" s="140" t="s">
        <v>15</v>
      </c>
      <c r="D66" s="3">
        <v>214873495</v>
      </c>
      <c r="E66" s="3">
        <v>165140732</v>
      </c>
      <c r="F66" s="2"/>
      <c r="G66" s="10">
        <f>+D66-E66-F66</f>
        <v>49732763</v>
      </c>
      <c r="H66" s="4">
        <f t="shared" si="8"/>
        <v>0</v>
      </c>
      <c r="I66" s="301"/>
      <c r="J66" s="304"/>
      <c r="K66" s="5">
        <f t="shared" si="2"/>
        <v>165140732</v>
      </c>
    </row>
    <row r="67" spans="1:18" ht="14.55" customHeight="1">
      <c r="A67" s="140">
        <v>2025</v>
      </c>
      <c r="B67" s="140">
        <v>9</v>
      </c>
      <c r="C67" s="140" t="s">
        <v>16</v>
      </c>
      <c r="D67" s="3">
        <v>257632349</v>
      </c>
      <c r="E67" s="3">
        <v>187761138</v>
      </c>
      <c r="F67" s="2"/>
      <c r="G67" s="10">
        <f>+D67-E67-F67</f>
        <v>69871211</v>
      </c>
      <c r="H67" s="4">
        <f t="shared" si="8"/>
        <v>0</v>
      </c>
      <c r="I67" s="301"/>
      <c r="J67" s="304"/>
      <c r="K67" s="5">
        <f t="shared" si="2"/>
        <v>187761138</v>
      </c>
      <c r="L67" s="54"/>
      <c r="M67" s="113"/>
    </row>
    <row r="68" spans="1:18" ht="14.55" customHeight="1">
      <c r="A68" s="140">
        <v>2025</v>
      </c>
      <c r="B68" s="140">
        <v>10</v>
      </c>
      <c r="C68" s="140" t="s">
        <v>17</v>
      </c>
      <c r="D68" s="3"/>
      <c r="E68" s="3">
        <v>3260742</v>
      </c>
      <c r="F68" s="2"/>
      <c r="G68" s="10">
        <f>+D68-E68-F68</f>
        <v>-3260742</v>
      </c>
      <c r="H68" s="4">
        <f t="shared" si="8"/>
        <v>0</v>
      </c>
      <c r="I68" s="301"/>
      <c r="J68" s="304"/>
      <c r="K68" s="5">
        <f t="shared" si="2"/>
        <v>3260742</v>
      </c>
      <c r="M68" s="95"/>
    </row>
    <row r="69" spans="1:18" ht="14.55" customHeight="1">
      <c r="A69" s="140">
        <v>2025</v>
      </c>
      <c r="B69" s="140">
        <v>11</v>
      </c>
      <c r="C69" s="140" t="s">
        <v>18</v>
      </c>
      <c r="D69" s="3"/>
      <c r="E69" s="3">
        <v>0</v>
      </c>
      <c r="F69" s="2"/>
      <c r="G69" s="10">
        <f t="shared" si="7"/>
        <v>0</v>
      </c>
      <c r="H69" s="4">
        <f t="shared" si="8"/>
        <v>0</v>
      </c>
      <c r="I69" s="301"/>
      <c r="J69" s="304"/>
      <c r="K69" s="5">
        <f t="shared" si="2"/>
        <v>0</v>
      </c>
      <c r="M69" s="95"/>
    </row>
    <row r="70" spans="1:18" ht="14.55" customHeight="1">
      <c r="A70" s="140">
        <v>2025</v>
      </c>
      <c r="B70" s="140">
        <v>12</v>
      </c>
      <c r="C70" s="140" t="s">
        <v>19</v>
      </c>
      <c r="D70" s="3"/>
      <c r="E70" s="3">
        <v>0</v>
      </c>
      <c r="F70" s="2"/>
      <c r="G70" s="10">
        <f t="shared" si="7"/>
        <v>0</v>
      </c>
      <c r="H70" s="4">
        <f t="shared" si="8"/>
        <v>0</v>
      </c>
      <c r="I70" s="301"/>
      <c r="J70" s="304"/>
      <c r="K70" s="5">
        <f t="shared" si="2"/>
        <v>0</v>
      </c>
      <c r="M70" s="270"/>
    </row>
    <row r="71" spans="1:18">
      <c r="A71" s="9" t="s">
        <v>199</v>
      </c>
      <c r="D71" s="11">
        <f>SUM(D59:D70)</f>
        <v>2270699221</v>
      </c>
      <c r="E71" s="11">
        <f>SUM(E59:E70)</f>
        <v>1799118835</v>
      </c>
      <c r="F71" s="11">
        <f>SUM(F59:F70)</f>
        <v>0</v>
      </c>
      <c r="G71" s="12">
        <f>SUM(G59:G70)</f>
        <v>471580386</v>
      </c>
      <c r="M71" s="95"/>
    </row>
    <row r="72" spans="1:18">
      <c r="A72" s="13" t="s">
        <v>24</v>
      </c>
      <c r="B72" s="13" t="s">
        <v>24</v>
      </c>
      <c r="C72" s="13" t="s">
        <v>24</v>
      </c>
      <c r="D72" s="108">
        <f>+D19+D32+D45+D58+D71</f>
        <v>11548845782</v>
      </c>
      <c r="E72" s="108">
        <f>+E19+E32+E45+E58+E71</f>
        <v>9600731677</v>
      </c>
      <c r="F72" s="108">
        <f>+F19+F32+F45+F58+F71</f>
        <v>481744069</v>
      </c>
      <c r="G72" s="108">
        <f>+G19+G32+G45+G58+G71</f>
        <v>1467186689</v>
      </c>
      <c r="H72" s="108">
        <f>E72+F72</f>
        <v>10082475746</v>
      </c>
      <c r="M72" s="70"/>
    </row>
    <row r="73" spans="1:18" ht="14.55" customHeight="1">
      <c r="J73" s="333" t="s">
        <v>332</v>
      </c>
      <c r="K73" s="333"/>
      <c r="M73" s="333" t="s">
        <v>346</v>
      </c>
      <c r="N73" s="333"/>
      <c r="R73" s="54"/>
    </row>
    <row r="74" spans="1:18" ht="14.55" customHeight="1">
      <c r="F74" s="14" t="s">
        <v>25</v>
      </c>
      <c r="G74" s="108">
        <f>+G72</f>
        <v>1467186689</v>
      </c>
      <c r="J74" s="297" t="s">
        <v>328</v>
      </c>
      <c r="K74" s="298">
        <v>1450984915</v>
      </c>
      <c r="M74" s="297" t="s">
        <v>343</v>
      </c>
      <c r="N74" s="298">
        <f>-K76</f>
        <v>-295802141</v>
      </c>
      <c r="O74" s="95"/>
      <c r="R74" s="54"/>
    </row>
    <row r="75" spans="1:18" ht="14.55" customHeight="1">
      <c r="F75" s="18" t="s">
        <v>26</v>
      </c>
      <c r="G75" s="108">
        <f>K77</f>
        <v>1412815123</v>
      </c>
      <c r="J75" s="297" t="s">
        <v>329</v>
      </c>
      <c r="K75" s="298">
        <v>257632349</v>
      </c>
      <c r="M75" s="297" t="s">
        <v>344</v>
      </c>
      <c r="N75" s="298">
        <v>295151842</v>
      </c>
      <c r="O75" s="95"/>
      <c r="R75" s="54"/>
    </row>
    <row r="76" spans="1:18" ht="14.55" customHeight="1">
      <c r="F76" s="15" t="s">
        <v>342</v>
      </c>
      <c r="G76" s="14">
        <f>-SUM(E85:E114)</f>
        <v>-54371566</v>
      </c>
      <c r="J76" s="297" t="s">
        <v>330</v>
      </c>
      <c r="K76" s="298">
        <v>295802141</v>
      </c>
      <c r="M76" s="297" t="s">
        <v>345</v>
      </c>
      <c r="N76" s="298">
        <v>237250</v>
      </c>
      <c r="O76" s="95"/>
      <c r="R76" s="54"/>
    </row>
    <row r="77" spans="1:18" ht="14.55" customHeight="1">
      <c r="F77" s="15" t="s">
        <v>88</v>
      </c>
      <c r="G77" s="14">
        <v>0</v>
      </c>
      <c r="J77" s="297" t="s">
        <v>331</v>
      </c>
      <c r="K77" s="298">
        <f>K74+K75-K76</f>
        <v>1412815123</v>
      </c>
      <c r="M77" s="297" t="s">
        <v>345</v>
      </c>
      <c r="N77" s="298">
        <v>33449</v>
      </c>
      <c r="O77" s="95"/>
      <c r="R77" s="54"/>
    </row>
    <row r="78" spans="1:18" ht="14.55" customHeight="1">
      <c r="F78" s="271" t="s">
        <v>27</v>
      </c>
      <c r="G78" s="271">
        <f>+G74-G75+G76-G77</f>
        <v>0</v>
      </c>
      <c r="J78" s="297" t="s">
        <v>349</v>
      </c>
      <c r="K78" s="298">
        <v>1407315011</v>
      </c>
      <c r="L78" s="5"/>
      <c r="M78" s="297" t="s">
        <v>345</v>
      </c>
      <c r="N78" s="298">
        <v>47450</v>
      </c>
      <c r="O78" s="95"/>
      <c r="R78" s="54"/>
    </row>
    <row r="79" spans="1:18" ht="14.55" customHeight="1">
      <c r="H79" s="16"/>
      <c r="I79" s="52"/>
      <c r="J79" s="300" t="s">
        <v>348</v>
      </c>
      <c r="K79" s="299">
        <f>+K77-K78</f>
        <v>5500112</v>
      </c>
      <c r="M79" s="297" t="s">
        <v>345</v>
      </c>
      <c r="N79" s="298">
        <v>332150</v>
      </c>
      <c r="O79" s="95"/>
      <c r="R79" s="54"/>
    </row>
    <row r="80" spans="1:18">
      <c r="H80" s="16"/>
      <c r="I80" s="52"/>
      <c r="M80" s="299" t="s">
        <v>347</v>
      </c>
      <c r="N80" s="299">
        <f>SUM(N74:N79)</f>
        <v>0</v>
      </c>
      <c r="O80" s="95"/>
      <c r="R80" s="54"/>
    </row>
    <row r="81" spans="3:18">
      <c r="H81" s="16"/>
      <c r="I81" s="52"/>
      <c r="M81" s="272"/>
      <c r="N81" s="95"/>
      <c r="O81" s="95"/>
      <c r="R81" s="54"/>
    </row>
    <row r="82" spans="3:18">
      <c r="H82" s="16"/>
      <c r="I82" s="52"/>
      <c r="M82" s="272"/>
      <c r="N82" s="95"/>
      <c r="O82" s="95"/>
      <c r="R82" s="54"/>
    </row>
    <row r="83" spans="3:18">
      <c r="H83" s="16"/>
      <c r="I83" s="52"/>
      <c r="M83" s="272"/>
      <c r="N83" s="95"/>
      <c r="O83" s="95"/>
      <c r="R83" s="54"/>
    </row>
    <row r="84" spans="3:18">
      <c r="D84" s="279" t="s">
        <v>28</v>
      </c>
      <c r="E84" s="282" t="s">
        <v>84</v>
      </c>
      <c r="F84" s="283" t="s">
        <v>333</v>
      </c>
      <c r="G84" s="279" t="s">
        <v>334</v>
      </c>
      <c r="H84"/>
    </row>
    <row r="85" spans="3:18" ht="14.55" customHeight="1">
      <c r="D85" s="280" t="s">
        <v>94</v>
      </c>
      <c r="E85" s="284">
        <v>5460000</v>
      </c>
      <c r="F85" s="285">
        <v>45689</v>
      </c>
      <c r="G85" s="286"/>
      <c r="H85"/>
    </row>
    <row r="86" spans="3:18" ht="14.55" customHeight="1">
      <c r="D86" s="310" t="s">
        <v>95</v>
      </c>
      <c r="E86" s="284">
        <v>13302223</v>
      </c>
      <c r="F86" s="285">
        <v>45200</v>
      </c>
      <c r="G86" s="286"/>
      <c r="H86"/>
    </row>
    <row r="87" spans="3:18" ht="14.55" customHeight="1">
      <c r="D87" s="310" t="s">
        <v>95</v>
      </c>
      <c r="E87" s="284">
        <v>3573000</v>
      </c>
      <c r="F87" s="285">
        <v>45261</v>
      </c>
      <c r="G87" s="286"/>
      <c r="H87"/>
      <c r="I87">
        <v>257632349</v>
      </c>
      <c r="J87">
        <v>187761138</v>
      </c>
      <c r="M87" s="5"/>
    </row>
    <row r="88" spans="3:18" ht="17.55" customHeight="1">
      <c r="D88" s="310" t="s">
        <v>95</v>
      </c>
      <c r="E88" s="95">
        <v>57177</v>
      </c>
      <c r="F88" s="285">
        <v>45747</v>
      </c>
      <c r="G88" s="286"/>
      <c r="H88"/>
      <c r="J88">
        <v>2686361</v>
      </c>
    </row>
    <row r="89" spans="3:18">
      <c r="D89" s="310" t="s">
        <v>95</v>
      </c>
      <c r="E89" s="284">
        <v>256234</v>
      </c>
      <c r="F89" s="285" t="s">
        <v>335</v>
      </c>
      <c r="G89" s="140"/>
      <c r="H89"/>
    </row>
    <row r="90" spans="3:18" ht="17.55" customHeight="1">
      <c r="D90" s="280" t="s">
        <v>101</v>
      </c>
      <c r="E90" s="284">
        <v>9037356</v>
      </c>
      <c r="F90" s="285">
        <v>45170</v>
      </c>
      <c r="G90" s="286"/>
      <c r="H90"/>
    </row>
    <row r="91" spans="3:18" ht="12.6" customHeight="1">
      <c r="D91" s="310" t="s">
        <v>104</v>
      </c>
      <c r="E91" s="284">
        <v>580000</v>
      </c>
      <c r="F91" s="285">
        <v>45687</v>
      </c>
      <c r="G91" s="286"/>
      <c r="H91"/>
    </row>
    <row r="92" spans="3:18">
      <c r="D92" s="310" t="s">
        <v>104</v>
      </c>
      <c r="E92" s="284">
        <v>696000</v>
      </c>
      <c r="F92" s="285">
        <v>45352</v>
      </c>
      <c r="G92" s="286"/>
      <c r="H92"/>
    </row>
    <row r="93" spans="3:18">
      <c r="D93" s="310" t="s">
        <v>104</v>
      </c>
      <c r="E93" s="284">
        <v>1237334</v>
      </c>
      <c r="F93" s="285">
        <v>45261</v>
      </c>
      <c r="G93" s="286"/>
      <c r="H93"/>
    </row>
    <row r="94" spans="3:18" ht="14.55" customHeight="1">
      <c r="C94" s="332"/>
      <c r="D94" s="311" t="s">
        <v>105</v>
      </c>
      <c r="E94" s="284">
        <v>41238</v>
      </c>
      <c r="F94" s="285">
        <v>45758</v>
      </c>
      <c r="G94" s="286" t="s">
        <v>336</v>
      </c>
      <c r="H94"/>
    </row>
    <row r="95" spans="3:18">
      <c r="C95" s="332"/>
      <c r="D95" s="311" t="s">
        <v>105</v>
      </c>
      <c r="E95" s="284">
        <v>630385</v>
      </c>
      <c r="F95" s="285">
        <v>45597</v>
      </c>
      <c r="G95" s="286" t="s">
        <v>337</v>
      </c>
      <c r="H95"/>
    </row>
    <row r="96" spans="3:18">
      <c r="C96" s="7"/>
      <c r="D96" s="311" t="s">
        <v>105</v>
      </c>
      <c r="E96" s="296">
        <v>33449</v>
      </c>
      <c r="F96" s="287">
        <v>45715</v>
      </c>
      <c r="G96" s="286" t="s">
        <v>336</v>
      </c>
      <c r="H96"/>
    </row>
    <row r="97" spans="3:8">
      <c r="C97" s="17"/>
      <c r="D97" s="311" t="s">
        <v>105</v>
      </c>
      <c r="E97" s="284">
        <v>1340320</v>
      </c>
      <c r="F97" s="285">
        <v>45200</v>
      </c>
      <c r="G97" s="286"/>
      <c r="H97"/>
    </row>
    <row r="98" spans="3:8">
      <c r="C98" s="17"/>
      <c r="D98" s="310" t="s">
        <v>109</v>
      </c>
      <c r="E98" s="284">
        <v>37819</v>
      </c>
      <c r="F98" s="285">
        <v>45597</v>
      </c>
      <c r="G98" s="286"/>
      <c r="H98"/>
    </row>
    <row r="99" spans="3:8">
      <c r="C99" s="17"/>
      <c r="D99" s="310" t="s">
        <v>109</v>
      </c>
      <c r="E99" s="284">
        <v>11152100</v>
      </c>
      <c r="F99" s="285">
        <v>45200</v>
      </c>
      <c r="G99" s="286"/>
      <c r="H99"/>
    </row>
    <row r="100" spans="3:8">
      <c r="C100" s="17"/>
      <c r="D100" s="310" t="s">
        <v>111</v>
      </c>
      <c r="E100" s="284">
        <v>650000</v>
      </c>
      <c r="F100" s="285">
        <v>45597</v>
      </c>
      <c r="G100" s="286"/>
      <c r="H100"/>
    </row>
    <row r="101" spans="3:8">
      <c r="C101" s="17"/>
      <c r="D101" s="310" t="s">
        <v>111</v>
      </c>
      <c r="E101" s="284">
        <v>88951</v>
      </c>
      <c r="F101" s="285">
        <v>45627</v>
      </c>
      <c r="G101" s="286"/>
      <c r="H101"/>
    </row>
    <row r="102" spans="3:8">
      <c r="C102" s="17"/>
      <c r="D102" s="281" t="s">
        <v>341</v>
      </c>
      <c r="E102" s="284">
        <v>77334</v>
      </c>
      <c r="F102" s="285">
        <v>45352</v>
      </c>
      <c r="G102" s="286"/>
      <c r="H102"/>
    </row>
    <row r="103" spans="3:8" ht="17.100000000000001" customHeight="1">
      <c r="C103" s="17"/>
      <c r="D103" s="310" t="s">
        <v>115</v>
      </c>
      <c r="E103" s="284">
        <v>866667</v>
      </c>
      <c r="F103" s="285">
        <v>45658</v>
      </c>
      <c r="G103" s="286"/>
      <c r="H103"/>
    </row>
    <row r="104" spans="3:8">
      <c r="C104" s="17"/>
      <c r="D104" s="310" t="s">
        <v>115</v>
      </c>
      <c r="E104" s="284">
        <v>3476318</v>
      </c>
      <c r="F104" s="285">
        <v>45352</v>
      </c>
      <c r="G104" s="286"/>
      <c r="H104"/>
    </row>
    <row r="105" spans="3:8">
      <c r="C105" s="17"/>
      <c r="D105" s="310" t="s">
        <v>115</v>
      </c>
      <c r="E105" s="288">
        <v>1037794</v>
      </c>
      <c r="F105" s="289">
        <v>45444</v>
      </c>
      <c r="G105" s="290"/>
      <c r="H105"/>
    </row>
    <row r="106" spans="3:8">
      <c r="C106" s="17"/>
      <c r="D106" s="312" t="s">
        <v>338</v>
      </c>
      <c r="E106" s="291">
        <v>123017</v>
      </c>
      <c r="F106" s="292">
        <v>45658</v>
      </c>
      <c r="G106" s="293"/>
      <c r="H106"/>
    </row>
    <row r="107" spans="3:8">
      <c r="C107" s="17"/>
      <c r="D107" s="312" t="s">
        <v>338</v>
      </c>
      <c r="E107" s="295">
        <v>142350</v>
      </c>
      <c r="F107" s="292">
        <v>45910</v>
      </c>
      <c r="G107" s="293" t="s">
        <v>339</v>
      </c>
      <c r="H107"/>
    </row>
    <row r="108" spans="3:8">
      <c r="C108" s="17"/>
      <c r="D108" s="312" t="s">
        <v>338</v>
      </c>
      <c r="E108" s="295">
        <v>47450</v>
      </c>
      <c r="F108" s="292">
        <v>45910</v>
      </c>
      <c r="G108" s="293" t="s">
        <v>339</v>
      </c>
      <c r="H108"/>
    </row>
    <row r="109" spans="3:8">
      <c r="C109" s="17"/>
      <c r="D109" s="312" t="s">
        <v>338</v>
      </c>
      <c r="E109" s="295">
        <v>47450</v>
      </c>
      <c r="F109" s="292">
        <v>45910</v>
      </c>
      <c r="G109" s="293" t="s">
        <v>339</v>
      </c>
      <c r="H109"/>
    </row>
    <row r="110" spans="3:8">
      <c r="C110" s="17"/>
      <c r="D110" s="312" t="s">
        <v>99</v>
      </c>
      <c r="E110" s="295">
        <v>47450</v>
      </c>
      <c r="F110" s="294">
        <v>45894</v>
      </c>
      <c r="G110" s="293" t="s">
        <v>340</v>
      </c>
      <c r="H110"/>
    </row>
    <row r="111" spans="3:8">
      <c r="C111" s="17"/>
      <c r="D111" s="312" t="s">
        <v>99</v>
      </c>
      <c r="E111" s="295">
        <v>332150</v>
      </c>
      <c r="F111" s="294">
        <v>45897</v>
      </c>
      <c r="G111" s="293" t="s">
        <v>340</v>
      </c>
      <c r="H111"/>
    </row>
    <row r="112" spans="3:8">
      <c r="C112" s="17"/>
      <c r="D112"/>
      <c r="E112"/>
      <c r="F112" s="278"/>
      <c r="G112"/>
      <c r="H112"/>
    </row>
    <row r="113" spans="3:8">
      <c r="C113" s="17"/>
      <c r="D113"/>
      <c r="E113"/>
      <c r="F113" s="278"/>
      <c r="G113"/>
      <c r="H113"/>
    </row>
    <row r="114" spans="3:8">
      <c r="C114" s="17"/>
      <c r="D114"/>
      <c r="E114"/>
      <c r="F114" s="278"/>
      <c r="G114"/>
      <c r="H114"/>
    </row>
    <row r="115" spans="3:8">
      <c r="C115" s="17"/>
    </row>
    <row r="116" spans="3:8">
      <c r="C116" s="17"/>
    </row>
    <row r="117" spans="3:8">
      <c r="C117" s="17"/>
    </row>
    <row r="118" spans="3:8">
      <c r="C118" s="17"/>
      <c r="D118" s="138" t="s">
        <v>351</v>
      </c>
      <c r="E118" t="s">
        <v>171</v>
      </c>
      <c r="F118"/>
    </row>
    <row r="119" spans="3:8">
      <c r="C119" s="17"/>
      <c r="D119" s="172" t="s">
        <v>94</v>
      </c>
      <c r="E119" s="207">
        <v>5460000</v>
      </c>
      <c r="F119"/>
    </row>
    <row r="120" spans="3:8">
      <c r="C120" s="17"/>
      <c r="D120" s="172" t="s">
        <v>95</v>
      </c>
      <c r="E120" s="207">
        <v>17188634</v>
      </c>
      <c r="F120"/>
    </row>
    <row r="121" spans="3:8">
      <c r="C121" s="17"/>
      <c r="D121" s="172" t="s">
        <v>99</v>
      </c>
      <c r="E121" s="207">
        <v>379600</v>
      </c>
      <c r="F121"/>
    </row>
    <row r="122" spans="3:8">
      <c r="D122" s="172" t="s">
        <v>101</v>
      </c>
      <c r="E122" s="207">
        <v>9037356</v>
      </c>
      <c r="F122"/>
    </row>
    <row r="123" spans="3:8">
      <c r="D123" s="172" t="s">
        <v>104</v>
      </c>
      <c r="E123" s="207">
        <v>2513334</v>
      </c>
      <c r="F123"/>
    </row>
    <row r="124" spans="3:8">
      <c r="D124" s="172" t="s">
        <v>105</v>
      </c>
      <c r="E124" s="207">
        <v>2045392</v>
      </c>
      <c r="F124"/>
    </row>
    <row r="125" spans="3:8">
      <c r="D125" s="172" t="s">
        <v>109</v>
      </c>
      <c r="E125" s="207">
        <v>11189919</v>
      </c>
      <c r="F125"/>
    </row>
    <row r="126" spans="3:8">
      <c r="D126" s="172" t="s">
        <v>111</v>
      </c>
      <c r="E126" s="207">
        <v>738951</v>
      </c>
      <c r="F126"/>
    </row>
    <row r="127" spans="3:8">
      <c r="D127" s="172" t="s">
        <v>341</v>
      </c>
      <c r="E127" s="207">
        <v>77334</v>
      </c>
      <c r="F127"/>
    </row>
    <row r="128" spans="3:8">
      <c r="D128" s="172" t="s">
        <v>115</v>
      </c>
      <c r="E128" s="207">
        <v>5380779</v>
      </c>
      <c r="F128"/>
    </row>
    <row r="129" spans="4:6">
      <c r="D129" s="172" t="s">
        <v>338</v>
      </c>
      <c r="E129" s="207">
        <v>360267</v>
      </c>
      <c r="F129"/>
    </row>
    <row r="130" spans="4:6">
      <c r="D130" s="172" t="s">
        <v>24</v>
      </c>
      <c r="E130" s="207">
        <v>54371566</v>
      </c>
      <c r="F130"/>
    </row>
    <row r="131" spans="4:6">
      <c r="D131"/>
      <c r="E131"/>
      <c r="F131"/>
    </row>
    <row r="132" spans="4:6">
      <c r="D132"/>
      <c r="E132"/>
      <c r="F132"/>
    </row>
    <row r="133" spans="4:6">
      <c r="D133"/>
      <c r="E133"/>
      <c r="F133"/>
    </row>
    <row r="134" spans="4:6">
      <c r="D134"/>
      <c r="E134"/>
      <c r="F134"/>
    </row>
    <row r="135" spans="4:6">
      <c r="D135"/>
      <c r="E135"/>
      <c r="F135"/>
    </row>
    <row r="171" spans="8:8">
      <c r="H171" s="16"/>
    </row>
    <row r="182" spans="4:7">
      <c r="D182" s="16"/>
      <c r="E182" s="16"/>
      <c r="F182" s="16"/>
      <c r="G182" s="16"/>
    </row>
  </sheetData>
  <mergeCells count="3">
    <mergeCell ref="C94:C95"/>
    <mergeCell ref="J73:K73"/>
    <mergeCell ref="M73:N73"/>
  </mergeCell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4:X44"/>
  <sheetViews>
    <sheetView showGridLines="0" zoomScale="60" zoomScaleNormal="60" workbookViewId="0">
      <pane ySplit="5" topLeftCell="A6" activePane="bottomLeft" state="frozen"/>
      <selection activeCell="F76" activeCellId="1" sqref="B43 F76"/>
      <selection pane="bottomLeft" activeCell="G21" sqref="G21"/>
    </sheetView>
  </sheetViews>
  <sheetFormatPr baseColWidth="10" defaultRowHeight="14.4"/>
  <cols>
    <col min="1" max="1" width="20.77734375" customWidth="1"/>
    <col min="2" max="2" width="22.44140625" customWidth="1"/>
    <col min="3" max="3" width="17.5546875" customWidth="1"/>
    <col min="4" max="4" width="29.44140625" customWidth="1"/>
    <col min="5" max="5" width="19.44140625" customWidth="1"/>
    <col min="6" max="6" width="20.77734375" customWidth="1"/>
    <col min="7" max="7" width="19.21875" customWidth="1"/>
    <col min="8" max="8" width="19.77734375" customWidth="1"/>
    <col min="9" max="9" width="29.21875" customWidth="1"/>
    <col min="10" max="10" width="23.21875" customWidth="1"/>
    <col min="11" max="17" width="31.44140625" customWidth="1"/>
    <col min="18" max="19" width="27.21875" customWidth="1"/>
    <col min="20" max="20" width="31.44140625" customWidth="1"/>
    <col min="21" max="21" width="17.5546875" customWidth="1"/>
    <col min="22" max="22" width="12.44140625" customWidth="1"/>
    <col min="23" max="23" width="15.44140625" customWidth="1"/>
    <col min="24" max="24" width="13.77734375" customWidth="1"/>
  </cols>
  <sheetData>
    <row r="4" spans="1:24" ht="23.4">
      <c r="A4" s="50" t="s">
        <v>65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1"/>
      <c r="M4" s="51"/>
      <c r="N4" s="51"/>
      <c r="O4" s="51"/>
      <c r="P4" s="51"/>
      <c r="Q4" s="51"/>
      <c r="R4" s="51"/>
      <c r="S4" s="51"/>
      <c r="T4" s="51"/>
      <c r="U4" s="33"/>
      <c r="V4" s="33"/>
      <c r="W4" s="33"/>
    </row>
    <row r="5" spans="1:24" ht="23.4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53"/>
      <c r="M5" s="51"/>
      <c r="N5" s="51"/>
      <c r="O5" s="51"/>
      <c r="P5" s="51"/>
      <c r="Q5" s="51"/>
      <c r="R5" s="51"/>
      <c r="S5" s="51"/>
      <c r="T5" s="51"/>
      <c r="U5" s="199">
        <v>67952700</v>
      </c>
      <c r="V5" s="34"/>
      <c r="W5" s="34"/>
    </row>
    <row r="6" spans="1:24">
      <c r="A6" s="9"/>
    </row>
    <row r="7" spans="1:24">
      <c r="A7" s="9"/>
    </row>
    <row r="8" spans="1:24" s="57" customFormat="1" ht="46.8">
      <c r="A8" s="67" t="s">
        <v>66</v>
      </c>
      <c r="B8" s="67" t="s">
        <v>67</v>
      </c>
      <c r="C8" s="335" t="s">
        <v>68</v>
      </c>
      <c r="D8" s="335"/>
      <c r="E8" s="335" t="s">
        <v>69</v>
      </c>
      <c r="F8" s="335"/>
      <c r="G8" s="67" t="s">
        <v>89</v>
      </c>
      <c r="H8" s="67" t="s">
        <v>212</v>
      </c>
      <c r="I8" s="67" t="s">
        <v>218</v>
      </c>
      <c r="J8" s="67" t="s">
        <v>217</v>
      </c>
      <c r="K8" s="67" t="s">
        <v>221</v>
      </c>
      <c r="L8" s="67" t="s">
        <v>223</v>
      </c>
      <c r="M8" s="67" t="s">
        <v>225</v>
      </c>
      <c r="N8" s="67" t="s">
        <v>229</v>
      </c>
      <c r="O8" s="67" t="s">
        <v>232</v>
      </c>
      <c r="P8" s="67" t="s">
        <v>321</v>
      </c>
      <c r="Q8" s="67" t="s">
        <v>350</v>
      </c>
      <c r="R8" s="67" t="s">
        <v>70</v>
      </c>
      <c r="S8" s="67" t="s">
        <v>71</v>
      </c>
      <c r="T8" s="68" t="s">
        <v>72</v>
      </c>
      <c r="U8" s="68" t="s">
        <v>73</v>
      </c>
      <c r="W8" s="69"/>
      <c r="X8" s="69"/>
    </row>
    <row r="9" spans="1:24" s="63" customFormat="1" ht="18">
      <c r="A9" s="58" t="s">
        <v>20</v>
      </c>
      <c r="B9" s="59">
        <f>+VLOOKUP(A9,'Resumen General x Edades'!A:D,4,0)</f>
        <v>2147464322</v>
      </c>
      <c r="C9" s="59">
        <f>+VLOOKUP(A9,'Resumen General x Edades'!A:E,5,0)</f>
        <v>1850384688</v>
      </c>
      <c r="D9" s="60">
        <f>+C9/B9</f>
        <v>0.86166027022822878</v>
      </c>
      <c r="E9" s="220">
        <f>ROUND(B9-C9-G9,0)</f>
        <v>0</v>
      </c>
      <c r="F9" s="60">
        <f>+E9/B9</f>
        <v>0</v>
      </c>
      <c r="G9" s="59">
        <f>+VLOOKUP(A9,'Resumen General x Edades'!A:F,6,0)</f>
        <v>297079634</v>
      </c>
      <c r="H9" s="61">
        <v>71570443</v>
      </c>
      <c r="I9" s="61">
        <v>71479590</v>
      </c>
      <c r="J9" s="61">
        <v>71479590</v>
      </c>
      <c r="K9" s="61">
        <v>71479590</v>
      </c>
      <c r="L9" s="61">
        <v>71479590</v>
      </c>
      <c r="M9" s="61">
        <v>71479590</v>
      </c>
      <c r="N9" s="61">
        <v>0</v>
      </c>
      <c r="O9" s="61">
        <v>0</v>
      </c>
      <c r="P9" s="61">
        <v>0</v>
      </c>
      <c r="Q9" s="61">
        <f>+VLOOKUP(A9,'Resumen General x Edades'!A:G,7,0)</f>
        <v>0</v>
      </c>
      <c r="R9" s="337">
        <f>791949000-17136000+9942000-3767000-159220461-3382087+68166000+69889000+68055000-139549286+126271000+143456200+139702100+186775000+67952700-9294200-184664435+3549300-51783100+79087000-27808600+35066500-15550700+4874100+M23+M22</f>
        <v>1153905731</v>
      </c>
      <c r="S9" s="337">
        <f>SUM(Q9:Q13)-R9</f>
        <v>313280958</v>
      </c>
      <c r="T9" s="340">
        <f>R14/Q14</f>
        <v>0.78647505436849008</v>
      </c>
      <c r="U9" s="340">
        <f>SUM(Q9:Q13)/SUM(B9:B12)</f>
        <v>0.15813359698015661</v>
      </c>
      <c r="V9" s="62"/>
      <c r="W9" s="334"/>
      <c r="X9" s="334"/>
    </row>
    <row r="10" spans="1:24" s="63" customFormat="1" ht="18">
      <c r="A10" s="58" t="s">
        <v>21</v>
      </c>
      <c r="B10" s="59">
        <f>+VLOOKUP(A10,'Resumen General x Edades'!A:D,4,0)</f>
        <v>2181232827</v>
      </c>
      <c r="C10" s="59">
        <f>+VLOOKUP(A10,'Resumen General x Edades'!A:E,5,0)</f>
        <v>1851174732</v>
      </c>
      <c r="D10" s="60">
        <f>+C10/B10</f>
        <v>0.84868277658650881</v>
      </c>
      <c r="E10" s="59">
        <f>ROUND(B10-C10-G10,0)</f>
        <v>145393660</v>
      </c>
      <c r="F10" s="60">
        <f>+E10/B10</f>
        <v>6.6656643986038822E-2</v>
      </c>
      <c r="G10" s="59">
        <f>+VLOOKUP(A10,'Resumen General x Edades'!A:F,6,0)</f>
        <v>184664435</v>
      </c>
      <c r="H10" s="61">
        <v>158295669</v>
      </c>
      <c r="I10" s="61">
        <v>158295669</v>
      </c>
      <c r="J10" s="61">
        <v>158295669</v>
      </c>
      <c r="K10" s="61">
        <v>158295669</v>
      </c>
      <c r="L10" s="61">
        <v>155995669</v>
      </c>
      <c r="M10" s="61">
        <v>155962336</v>
      </c>
      <c r="N10" s="61">
        <v>156204608</v>
      </c>
      <c r="O10" s="61">
        <v>156204608</v>
      </c>
      <c r="P10" s="61">
        <v>156204608</v>
      </c>
      <c r="Q10" s="61">
        <f>+VLOOKUP(A10,'Resumen General x Edades'!A:G,7,0)</f>
        <v>146210313</v>
      </c>
      <c r="R10" s="338"/>
      <c r="S10" s="338"/>
      <c r="T10" s="341"/>
      <c r="U10" s="341"/>
      <c r="V10" s="62"/>
      <c r="W10" s="334"/>
      <c r="X10" s="334"/>
    </row>
    <row r="11" spans="1:24" s="63" customFormat="1" ht="18">
      <c r="A11" s="58" t="s">
        <v>22</v>
      </c>
      <c r="B11" s="59">
        <f>+VLOOKUP(A11,'Resumen General x Edades'!A:D,4,0)</f>
        <v>2457236468</v>
      </c>
      <c r="C11" s="59">
        <f>+VLOOKUP(A11,'Resumen General x Edades'!A:E,5,0)</f>
        <v>2121450256</v>
      </c>
      <c r="D11" s="60">
        <f>+C11/B11</f>
        <v>0.86334802678827893</v>
      </c>
      <c r="E11" s="59">
        <f>ROUND(B11-C11-G11,0)</f>
        <v>335786212</v>
      </c>
      <c r="F11" s="60">
        <f>+E11/B11</f>
        <v>0.13665197321172104</v>
      </c>
      <c r="G11" s="59">
        <f>+VLOOKUP(A11,'Resumen General x Edades'!A:F,6,0)</f>
        <v>0</v>
      </c>
      <c r="H11" s="61">
        <v>346716753</v>
      </c>
      <c r="I11" s="61">
        <v>346678086</v>
      </c>
      <c r="J11" s="61">
        <v>346678086</v>
      </c>
      <c r="K11" s="61">
        <v>346678086</v>
      </c>
      <c r="L11" s="61">
        <v>346400753</v>
      </c>
      <c r="M11" s="61">
        <v>345898086</v>
      </c>
      <c r="N11" s="61">
        <v>345845374</v>
      </c>
      <c r="O11" s="61">
        <v>345285528</v>
      </c>
      <c r="P11" s="61">
        <v>345218862</v>
      </c>
      <c r="Q11" s="61">
        <f>+VLOOKUP(A11,'Resumen General x Edades'!A:G,7,0)</f>
        <v>335786212</v>
      </c>
      <c r="R11" s="338"/>
      <c r="S11" s="338"/>
      <c r="T11" s="341"/>
      <c r="U11" s="341"/>
      <c r="V11" s="62"/>
      <c r="W11" s="334"/>
      <c r="X11" s="334"/>
    </row>
    <row r="12" spans="1:24" s="63" customFormat="1" ht="18">
      <c r="A12" s="58" t="s">
        <v>23</v>
      </c>
      <c r="B12" s="59">
        <f>+VLOOKUP(A12,'Resumen General x Edades'!A:D,4,0)</f>
        <v>2492212944</v>
      </c>
      <c r="C12" s="59">
        <f>+VLOOKUP(A12,'Resumen General x Edades'!A:E,5,0)</f>
        <v>1978603166</v>
      </c>
      <c r="D12" s="60">
        <f>+C12/B12</f>
        <v>0.79391416803427051</v>
      </c>
      <c r="E12" s="59">
        <f>ROUND(B12-C12-G12,0)</f>
        <v>513609778</v>
      </c>
      <c r="F12" s="60">
        <f>+E12/B12</f>
        <v>0.20608583196572949</v>
      </c>
      <c r="G12" s="59">
        <f>+VLOOKUP(A12,'Resumen General x Edades'!A:F,6,0)</f>
        <v>0</v>
      </c>
      <c r="H12" s="61">
        <v>941244958</v>
      </c>
      <c r="I12" s="61">
        <v>663839347</v>
      </c>
      <c r="J12" s="61">
        <v>626002165</v>
      </c>
      <c r="K12" s="61">
        <v>555207618</v>
      </c>
      <c r="L12" s="61">
        <v>543285700</v>
      </c>
      <c r="M12" s="61">
        <v>508882153</v>
      </c>
      <c r="N12" s="61">
        <v>505759412</v>
      </c>
      <c r="O12" s="61">
        <v>503279717</v>
      </c>
      <c r="P12" s="61">
        <v>500376959</v>
      </c>
      <c r="Q12" s="61">
        <f>+VLOOKUP(A12,'Resumen General x Edades'!A:G,7,0)</f>
        <v>513609778</v>
      </c>
      <c r="R12" s="338"/>
      <c r="S12" s="338"/>
      <c r="T12" s="341"/>
      <c r="U12" s="341"/>
      <c r="V12" s="62"/>
      <c r="W12" s="64"/>
      <c r="X12" s="64"/>
    </row>
    <row r="13" spans="1:24" s="63" customFormat="1" ht="18">
      <c r="A13" s="58" t="s">
        <v>199</v>
      </c>
      <c r="B13" s="59">
        <f>+VLOOKUP(A13,'Resumen General x Edades'!A:D,4,0)</f>
        <v>2270699221</v>
      </c>
      <c r="C13" s="59">
        <f>+VLOOKUP(A13,'Resumen General x Edades'!A:E,5,0)</f>
        <v>1799118835</v>
      </c>
      <c r="D13" s="60">
        <f>+C13/B13</f>
        <v>0.7923193077979217</v>
      </c>
      <c r="E13" s="59">
        <f>ROUND(B13-C13-G13,0)</f>
        <v>471580386</v>
      </c>
      <c r="F13" s="60">
        <f>+E13/B13</f>
        <v>0.20768069220207833</v>
      </c>
      <c r="G13" s="59">
        <f>+VLOOKUP(A13,'Resumen General x Edades'!A:F,6,0)</f>
        <v>0</v>
      </c>
      <c r="H13" s="61">
        <v>0</v>
      </c>
      <c r="I13" s="61">
        <v>237017178</v>
      </c>
      <c r="J13" s="61">
        <v>445942269</v>
      </c>
      <c r="K13" s="61">
        <v>513714245</v>
      </c>
      <c r="L13" s="61">
        <v>647887465</v>
      </c>
      <c r="M13" s="61">
        <v>666062207</v>
      </c>
      <c r="N13" s="61">
        <v>674640011</v>
      </c>
      <c r="O13" s="61">
        <v>609047351</v>
      </c>
      <c r="P13" s="61">
        <v>701052617</v>
      </c>
      <c r="Q13" s="61">
        <f>+VLOOKUP(A13,'Resumen General x Edades'!A:G,7,0)</f>
        <v>471580386</v>
      </c>
      <c r="R13" s="339"/>
      <c r="S13" s="339"/>
      <c r="T13" s="342"/>
      <c r="U13" s="342"/>
      <c r="V13" s="62"/>
      <c r="W13" s="64"/>
      <c r="X13" s="64"/>
    </row>
    <row r="14" spans="1:24">
      <c r="A14" s="35" t="s">
        <v>74</v>
      </c>
      <c r="B14" s="56">
        <f t="shared" ref="B14:H14" si="0">SUM(B9:B13)</f>
        <v>11548845782</v>
      </c>
      <c r="C14" s="56">
        <f t="shared" si="0"/>
        <v>9600731677</v>
      </c>
      <c r="D14" s="56">
        <f t="shared" si="0"/>
        <v>4.1599245494352086</v>
      </c>
      <c r="E14" s="56">
        <f t="shared" si="0"/>
        <v>1466370036</v>
      </c>
      <c r="F14" s="56">
        <f t="shared" si="0"/>
        <v>0.61707514136556763</v>
      </c>
      <c r="G14" s="56">
        <f t="shared" si="0"/>
        <v>481744069</v>
      </c>
      <c r="H14" s="56">
        <f t="shared" si="0"/>
        <v>1517827823</v>
      </c>
      <c r="I14" s="56">
        <v>1477309870</v>
      </c>
      <c r="J14" s="56">
        <f>SUM(J9:J13)</f>
        <v>1648397779</v>
      </c>
      <c r="K14" s="56">
        <v>1645375208</v>
      </c>
      <c r="L14" s="56">
        <v>1765049177</v>
      </c>
      <c r="M14" s="56">
        <v>1748284372</v>
      </c>
      <c r="N14" s="56">
        <f t="shared" ref="N14:U14" si="1">SUM(N9:N13)</f>
        <v>1682449405</v>
      </c>
      <c r="O14" s="56">
        <f t="shared" si="1"/>
        <v>1613817204</v>
      </c>
      <c r="P14" s="56">
        <f t="shared" si="1"/>
        <v>1702853046</v>
      </c>
      <c r="Q14" s="56">
        <f t="shared" si="1"/>
        <v>1467186689</v>
      </c>
      <c r="R14" s="56">
        <f t="shared" si="1"/>
        <v>1153905731</v>
      </c>
      <c r="S14" s="56">
        <f t="shared" si="1"/>
        <v>313280958</v>
      </c>
      <c r="T14" s="56">
        <f t="shared" si="1"/>
        <v>0.78647505436849008</v>
      </c>
      <c r="U14" s="56">
        <f t="shared" si="1"/>
        <v>0.15813359698015661</v>
      </c>
      <c r="V14" s="36"/>
      <c r="W14" s="37"/>
      <c r="X14" s="37"/>
    </row>
    <row r="15" spans="1:24">
      <c r="A15" s="38"/>
      <c r="B15" s="4"/>
      <c r="C15" s="39"/>
      <c r="D15" s="40"/>
      <c r="E15" s="40"/>
      <c r="F15" s="40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4">
      <c r="A16" s="42"/>
      <c r="B16" s="42"/>
      <c r="C16" s="42"/>
      <c r="D16" s="42"/>
      <c r="E16" s="42"/>
      <c r="F16" s="42"/>
      <c r="G16" s="42"/>
      <c r="J16" s="46"/>
      <c r="K16" s="46"/>
      <c r="L16" s="87"/>
      <c r="T16" s="336"/>
      <c r="U16" s="336"/>
    </row>
    <row r="17" spans="1:22">
      <c r="A17" s="42"/>
      <c r="B17" s="42"/>
      <c r="C17" s="42"/>
      <c r="D17" s="42"/>
      <c r="E17" s="42"/>
      <c r="F17" s="42"/>
      <c r="G17" s="42"/>
      <c r="H17" s="45"/>
      <c r="I17" s="8"/>
      <c r="J17" s="8"/>
      <c r="K17" s="8"/>
      <c r="Q17" s="87"/>
      <c r="T17" s="336"/>
      <c r="U17" s="336"/>
    </row>
    <row r="18" spans="1:22">
      <c r="A18" s="209"/>
      <c r="B18" s="209"/>
      <c r="C18" s="42"/>
      <c r="D18" s="42"/>
      <c r="E18" s="42"/>
      <c r="F18" s="42"/>
      <c r="G18" s="42"/>
      <c r="H18" s="45"/>
      <c r="I18" s="46"/>
      <c r="J18" s="46"/>
      <c r="K18" s="46"/>
      <c r="T18" s="336"/>
      <c r="U18" s="336"/>
    </row>
    <row r="19" spans="1:22" ht="18">
      <c r="A19" s="210"/>
      <c r="B19" s="211"/>
      <c r="D19" s="42"/>
      <c r="E19" s="42"/>
      <c r="F19" s="42"/>
      <c r="G19" s="42"/>
      <c r="I19" s="49" t="s">
        <v>85</v>
      </c>
      <c r="J19" s="49"/>
      <c r="L19" s="49" t="s">
        <v>87</v>
      </c>
      <c r="M19" s="49"/>
      <c r="T19" s="336"/>
      <c r="U19" s="336"/>
      <c r="V19" s="47"/>
    </row>
    <row r="20" spans="1:22">
      <c r="A20" s="86"/>
      <c r="B20" s="212"/>
      <c r="D20" s="42"/>
      <c r="E20" s="42"/>
      <c r="F20" s="42"/>
      <c r="G20" s="42"/>
      <c r="I20" s="46"/>
      <c r="J20" s="46"/>
      <c r="T20" s="336"/>
      <c r="U20" s="336"/>
      <c r="V20" s="5"/>
    </row>
    <row r="21" spans="1:22" ht="46.05" customHeight="1">
      <c r="A21" s="213"/>
      <c r="B21" s="213"/>
      <c r="D21" s="42"/>
      <c r="E21" s="42"/>
      <c r="F21" s="42"/>
      <c r="G21" s="42"/>
      <c r="I21" s="328" t="s">
        <v>83</v>
      </c>
      <c r="J21" s="329" t="s">
        <v>84</v>
      </c>
      <c r="L21" s="44" t="s">
        <v>75</v>
      </c>
      <c r="M21" s="43" t="s">
        <v>84</v>
      </c>
      <c r="U21" s="97"/>
      <c r="V21" s="5"/>
    </row>
    <row r="22" spans="1:22" s="63" customFormat="1" ht="18">
      <c r="A22" s="214"/>
      <c r="B22" s="215"/>
      <c r="D22" s="42"/>
      <c r="E22" s="42"/>
      <c r="F22" s="42"/>
      <c r="G22" s="42"/>
      <c r="I22" s="65" t="s">
        <v>25</v>
      </c>
      <c r="J22" s="107">
        <f>'Resumen General x Edades'!G74</f>
        <v>1467186689</v>
      </c>
      <c r="K22" s="173"/>
      <c r="L22" s="66">
        <v>45901</v>
      </c>
      <c r="M22" s="71">
        <v>34809200</v>
      </c>
      <c r="N22" s="208"/>
      <c r="O22" s="208"/>
      <c r="P22" s="208"/>
      <c r="U22" s="62"/>
      <c r="V22" s="62"/>
    </row>
    <row r="23" spans="1:22" s="63" customFormat="1" ht="18">
      <c r="A23" s="214"/>
      <c r="B23" s="215"/>
      <c r="D23" s="42"/>
      <c r="E23" s="42"/>
      <c r="F23" s="42"/>
      <c r="G23" s="42"/>
      <c r="I23" s="65" t="s">
        <v>26</v>
      </c>
      <c r="J23" s="107">
        <f>'Resumen General x Edades'!G75</f>
        <v>1412815123</v>
      </c>
      <c r="K23"/>
      <c r="L23" s="66">
        <v>45870</v>
      </c>
      <c r="M23" s="71">
        <v>-63482500</v>
      </c>
      <c r="N23" s="219"/>
      <c r="O23" s="219"/>
      <c r="P23" s="219"/>
      <c r="U23" s="62"/>
    </row>
    <row r="24" spans="1:22" s="63" customFormat="1" ht="18">
      <c r="A24" s="214"/>
      <c r="B24" s="215"/>
      <c r="D24" s="42"/>
      <c r="E24" s="42"/>
      <c r="F24" s="42"/>
      <c r="G24" s="42"/>
      <c r="I24" s="65" t="s">
        <v>86</v>
      </c>
      <c r="J24" s="107">
        <f>'Resumen General x Edades'!G76-'Resumen General x Edades'!G77</f>
        <v>-54371566</v>
      </c>
      <c r="K24"/>
      <c r="L24" s="66">
        <v>45839</v>
      </c>
      <c r="M24" s="71">
        <v>4874100</v>
      </c>
      <c r="N24" s="219"/>
      <c r="O24" s="219"/>
      <c r="P24" s="219"/>
      <c r="V24" s="62"/>
    </row>
    <row r="25" spans="1:22" s="63" customFormat="1" ht="18">
      <c r="A25" s="214"/>
      <c r="B25" s="215"/>
      <c r="D25" s="42"/>
      <c r="E25" s="42"/>
      <c r="F25" s="42"/>
      <c r="G25" s="42"/>
      <c r="I25" s="330" t="s">
        <v>76</v>
      </c>
      <c r="J25" s="331">
        <f>+J22-J23+J24</f>
        <v>0</v>
      </c>
      <c r="K25"/>
      <c r="L25" s="66">
        <v>45809</v>
      </c>
      <c r="M25" s="71">
        <f>+'Nuevo Modelo2'!I84</f>
        <v>-15550700</v>
      </c>
      <c r="N25" s="219"/>
      <c r="O25" s="219"/>
      <c r="P25" s="219"/>
      <c r="U25" s="62"/>
    </row>
    <row r="26" spans="1:22" s="63" customFormat="1" ht="18">
      <c r="A26" s="214"/>
      <c r="B26" s="215"/>
      <c r="C26" s="208"/>
      <c r="D26" s="42"/>
      <c r="E26" s="42"/>
      <c r="F26" s="42"/>
      <c r="G26" s="42"/>
      <c r="K26"/>
      <c r="L26" s="66">
        <v>45778</v>
      </c>
      <c r="M26" s="71">
        <v>35066500</v>
      </c>
    </row>
    <row r="27" spans="1:22" s="63" customFormat="1" ht="18">
      <c r="A27" s="216"/>
      <c r="B27" s="215"/>
      <c r="L27" s="66">
        <v>45748</v>
      </c>
      <c r="M27" s="71">
        <v>-27808600</v>
      </c>
    </row>
    <row r="28" spans="1:22" s="63" customFormat="1" ht="18">
      <c r="A28" s="217"/>
      <c r="B28" s="218"/>
      <c r="L28" s="66">
        <v>45717</v>
      </c>
      <c r="M28" s="71">
        <v>79087000</v>
      </c>
    </row>
    <row r="29" spans="1:22" s="63" customFormat="1" ht="18">
      <c r="A29" s="216"/>
      <c r="B29" s="216"/>
      <c r="C29" s="62"/>
      <c r="F29" s="149"/>
      <c r="L29" s="66">
        <v>45689</v>
      </c>
      <c r="M29" s="71">
        <v>-51783100</v>
      </c>
    </row>
    <row r="30" spans="1:22" ht="18">
      <c r="A30" s="216"/>
      <c r="B30" s="216"/>
      <c r="L30" s="66">
        <v>45658</v>
      </c>
      <c r="M30" s="71">
        <v>3549300</v>
      </c>
      <c r="T30" s="5"/>
    </row>
    <row r="31" spans="1:22" ht="18">
      <c r="A31" s="86"/>
      <c r="B31" s="86"/>
      <c r="L31" s="63"/>
      <c r="M31" s="63"/>
    </row>
    <row r="32" spans="1:22">
      <c r="M32" s="5"/>
    </row>
    <row r="36" spans="11:11" ht="24.6" customHeight="1"/>
    <row r="44" spans="11:11">
      <c r="K44" s="55"/>
    </row>
  </sheetData>
  <mergeCells count="10">
    <mergeCell ref="W9:W11"/>
    <mergeCell ref="X9:X11"/>
    <mergeCell ref="C8:D8"/>
    <mergeCell ref="E8:F8"/>
    <mergeCell ref="T16:T20"/>
    <mergeCell ref="U16:U20"/>
    <mergeCell ref="R9:R13"/>
    <mergeCell ref="S9:S13"/>
    <mergeCell ref="T9:T13"/>
    <mergeCell ref="U9:U1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rgb="FFFFFF00"/>
  </sheetPr>
  <dimension ref="A1:P227"/>
  <sheetViews>
    <sheetView showGridLines="0" tabSelected="1" topLeftCell="B203" zoomScale="60" zoomScaleNormal="60" workbookViewId="0">
      <selection activeCell="C225" sqref="C225"/>
    </sheetView>
  </sheetViews>
  <sheetFormatPr baseColWidth="10" defaultRowHeight="14.4" outlineLevelRow="1" outlineLevelCol="1"/>
  <cols>
    <col min="1" max="1" width="52.44140625" bestFit="1" customWidth="1"/>
    <col min="2" max="2" width="26.5546875" customWidth="1"/>
    <col min="3" max="3" width="33.44140625" customWidth="1"/>
    <col min="4" max="4" width="23.44140625" customWidth="1"/>
    <col min="5" max="5" width="18.21875" customWidth="1"/>
    <col min="6" max="6" width="24.21875" customWidth="1" outlineLevel="1"/>
    <col min="7" max="7" width="62.44140625" customWidth="1" outlineLevel="1"/>
    <col min="8" max="8" width="27.21875" customWidth="1" outlineLevel="1"/>
    <col min="9" max="9" width="34.109375" customWidth="1" outlineLevel="1"/>
    <col min="10" max="10" width="34.44140625" customWidth="1" outlineLevel="1"/>
    <col min="11" max="11" width="15" customWidth="1" outlineLevel="1"/>
    <col min="12" max="12" width="37.5546875" customWidth="1"/>
    <col min="13" max="13" width="33.109375" customWidth="1"/>
    <col min="14" max="14" width="23.88671875" customWidth="1"/>
    <col min="15" max="15" width="18.5546875" customWidth="1"/>
    <col min="16" max="16" width="17.5546875" customWidth="1"/>
    <col min="17" max="17" width="24.5546875" customWidth="1"/>
    <col min="18" max="18" width="15.77734375" customWidth="1"/>
    <col min="19" max="20" width="10" customWidth="1"/>
    <col min="21" max="21" width="9.5546875" customWidth="1"/>
    <col min="22" max="22" width="10" customWidth="1"/>
    <col min="23" max="23" width="11.77734375" customWidth="1"/>
    <col min="24" max="25" width="10.5546875" customWidth="1"/>
    <col min="26" max="26" width="11.77734375" customWidth="1"/>
    <col min="27" max="40" width="9" customWidth="1"/>
    <col min="41" max="41" width="10.5546875" customWidth="1"/>
    <col min="42" max="42" width="9.5546875" customWidth="1"/>
    <col min="43" max="75" width="9" customWidth="1"/>
    <col min="76" max="76" width="10.5546875" customWidth="1"/>
    <col min="77" max="95" width="9" customWidth="1"/>
    <col min="96" max="96" width="10.5546875" customWidth="1"/>
    <col min="97" max="113" width="9" customWidth="1"/>
    <col min="114" max="114" width="10.5546875" customWidth="1"/>
    <col min="115" max="115" width="9.5546875" customWidth="1"/>
    <col min="116" max="131" width="9" customWidth="1"/>
    <col min="132" max="132" width="10.5546875" customWidth="1"/>
    <col min="133" max="152" width="9" customWidth="1"/>
    <col min="153" max="153" width="10.5546875" customWidth="1"/>
    <col min="154" max="173" width="9" customWidth="1"/>
    <col min="174" max="174" width="10.5546875" customWidth="1"/>
    <col min="175" max="193" width="9" customWidth="1"/>
    <col min="194" max="194" width="10.5546875" customWidth="1"/>
    <col min="195" max="212" width="9" customWidth="1"/>
    <col min="213" max="213" width="10.5546875" customWidth="1"/>
    <col min="214" max="232" width="9" customWidth="1"/>
    <col min="233" max="233" width="10.5546875" customWidth="1"/>
    <col min="234" max="249" width="9" customWidth="1"/>
    <col min="250" max="250" width="10.5546875" customWidth="1"/>
    <col min="251" max="267" width="9" customWidth="1"/>
    <col min="268" max="268" width="10.5546875" customWidth="1"/>
    <col min="269" max="289" width="9" customWidth="1"/>
    <col min="290" max="290" width="10.5546875" customWidth="1"/>
    <col min="291" max="308" width="9" customWidth="1"/>
    <col min="309" max="309" width="10.5546875" customWidth="1"/>
    <col min="310" max="327" width="9" customWidth="1"/>
    <col min="328" max="328" width="10.5546875" customWidth="1"/>
    <col min="329" max="349" width="9" customWidth="1"/>
    <col min="350" max="350" width="10.5546875" customWidth="1"/>
    <col min="351" max="369" width="9" customWidth="1"/>
    <col min="370" max="370" width="10.5546875" customWidth="1"/>
    <col min="371" max="371" width="11.77734375" bestFit="1" customWidth="1"/>
  </cols>
  <sheetData>
    <row r="1" spans="1:11">
      <c r="A1" s="343"/>
      <c r="B1" s="343"/>
      <c r="C1" s="343"/>
      <c r="D1" s="343"/>
      <c r="E1" s="343"/>
      <c r="F1" s="343"/>
      <c r="G1" s="343"/>
      <c r="H1" s="343"/>
      <c r="I1" s="343"/>
    </row>
    <row r="2" spans="1:11">
      <c r="A2" s="343" t="s">
        <v>49</v>
      </c>
      <c r="B2" s="343"/>
      <c r="C2" s="343"/>
      <c r="D2" s="343"/>
    </row>
    <row r="3" spans="1:11" ht="15" thickBot="1">
      <c r="A3" s="9" t="s">
        <v>50</v>
      </c>
      <c r="H3" s="81" t="s">
        <v>51</v>
      </c>
      <c r="I3" s="82">
        <f>+PROVISION!R9</f>
        <v>1153905731</v>
      </c>
      <c r="K3" s="5"/>
    </row>
    <row r="4" spans="1:11" outlineLevel="1">
      <c r="A4" s="345" t="s">
        <v>219</v>
      </c>
      <c r="B4" s="346"/>
      <c r="C4" s="346"/>
      <c r="D4" s="346"/>
      <c r="G4" s="22"/>
      <c r="H4" s="347" t="s">
        <v>52</v>
      </c>
      <c r="I4" s="347" t="s">
        <v>53</v>
      </c>
    </row>
    <row r="5" spans="1:11" ht="15" outlineLevel="1" thickBot="1">
      <c r="A5" s="85" t="s">
        <v>54</v>
      </c>
      <c r="B5" s="84">
        <f>SUM(B6:B11)</f>
        <v>404454216</v>
      </c>
      <c r="C5" s="85"/>
      <c r="D5" s="85"/>
      <c r="G5" s="22"/>
      <c r="H5" s="348"/>
      <c r="I5" s="348"/>
    </row>
    <row r="6" spans="1:11" ht="15" outlineLevel="1" thickBot="1">
      <c r="A6" s="19" t="s">
        <v>39</v>
      </c>
      <c r="B6" s="306">
        <v>7910541</v>
      </c>
      <c r="C6" s="24">
        <v>0.36344207816015062</v>
      </c>
      <c r="D6" s="25">
        <f t="shared" ref="D6:D11" si="0">+B6*C6</f>
        <v>2875023.460411076</v>
      </c>
      <c r="G6" s="73" t="s">
        <v>55</v>
      </c>
      <c r="H6" s="26">
        <v>57831458.452896513</v>
      </c>
      <c r="I6" s="26">
        <v>1100862372.5471034</v>
      </c>
    </row>
    <row r="7" spans="1:11" ht="15" outlineLevel="1" thickBot="1">
      <c r="A7" s="19" t="s">
        <v>40</v>
      </c>
      <c r="B7" s="306">
        <v>263652526</v>
      </c>
      <c r="C7" s="24">
        <v>0.36344207816015062</v>
      </c>
      <c r="D7" s="25">
        <f t="shared" si="0"/>
        <v>95822421.961613148</v>
      </c>
      <c r="G7" s="73" t="s">
        <v>81</v>
      </c>
      <c r="H7" s="26">
        <v>64430768.836923286</v>
      </c>
      <c r="I7" s="26">
        <v>1042479962.1630768</v>
      </c>
    </row>
    <row r="8" spans="1:11" ht="15" outlineLevel="1" thickBot="1">
      <c r="A8" s="19" t="s">
        <v>42</v>
      </c>
      <c r="B8" s="306">
        <v>25384117</v>
      </c>
      <c r="C8" s="24">
        <v>0.36344207816015062</v>
      </c>
      <c r="D8" s="25">
        <f t="shared" si="0"/>
        <v>9225656.2347404081</v>
      </c>
      <c r="G8" s="73" t="s">
        <v>90</v>
      </c>
      <c r="H8" s="26">
        <v>61831570.171090499</v>
      </c>
      <c r="I8" s="26">
        <v>1124166160.8289096</v>
      </c>
    </row>
    <row r="9" spans="1:11" ht="15" outlineLevel="1" thickBot="1">
      <c r="A9" s="19" t="s">
        <v>44</v>
      </c>
      <c r="B9" s="306">
        <v>27161138</v>
      </c>
      <c r="C9" s="24">
        <v>0.36344207816015062</v>
      </c>
      <c r="D9" s="25">
        <f t="shared" si="0"/>
        <v>9871500.4399146363</v>
      </c>
      <c r="G9" s="73" t="s">
        <v>119</v>
      </c>
      <c r="H9" s="26">
        <v>86838136.09129405</v>
      </c>
      <c r="I9" s="26">
        <v>1096357560.8289096</v>
      </c>
    </row>
    <row r="10" spans="1:11" ht="15" outlineLevel="1" thickBot="1">
      <c r="A10" s="19" t="s">
        <v>46</v>
      </c>
      <c r="B10" s="306">
        <v>31983583</v>
      </c>
      <c r="C10" s="24">
        <v>0.24229471877343373</v>
      </c>
      <c r="D10" s="25">
        <f t="shared" si="0"/>
        <v>7749453.248351776</v>
      </c>
      <c r="G10" s="73" t="s">
        <v>130</v>
      </c>
      <c r="H10" s="26">
        <v>84014618.309578866</v>
      </c>
      <c r="I10" s="26">
        <v>1106417494.9087059</v>
      </c>
    </row>
    <row r="11" spans="1:11" ht="15" outlineLevel="1" thickBot="1">
      <c r="A11" s="19" t="s">
        <v>48</v>
      </c>
      <c r="B11" s="306">
        <v>48362311</v>
      </c>
      <c r="C11" s="24">
        <v>0.24229471877343373</v>
      </c>
      <c r="D11" s="25">
        <f t="shared" si="0"/>
        <v>11717932.542978341</v>
      </c>
      <c r="G11" s="73" t="s">
        <v>133</v>
      </c>
      <c r="H11" s="26">
        <v>85571037.808511838</v>
      </c>
      <c r="I11" s="26">
        <v>1093690312.6904211</v>
      </c>
    </row>
    <row r="12" spans="1:11" ht="15" thickBot="1">
      <c r="A12" s="349" t="s">
        <v>56</v>
      </c>
      <c r="B12" s="349"/>
      <c r="C12" s="349"/>
      <c r="D12" s="72">
        <f>+SUM(D6:D11)</f>
        <v>137261987.8880094</v>
      </c>
      <c r="E12" s="88"/>
      <c r="F12" s="27"/>
      <c r="G12" s="73" t="s">
        <v>135</v>
      </c>
      <c r="H12" s="26">
        <v>77071845.3487546</v>
      </c>
      <c r="I12" s="26">
        <v>1097007993.1914883</v>
      </c>
    </row>
    <row r="13" spans="1:11" ht="15" thickBot="1">
      <c r="E13" s="88"/>
      <c r="G13" s="73" t="s">
        <v>140</v>
      </c>
      <c r="H13" s="26">
        <v>85527230.802210227</v>
      </c>
      <c r="I13" s="26">
        <v>1033569300.1977898</v>
      </c>
    </row>
    <row r="14" spans="1:11" ht="15" thickBot="1">
      <c r="A14" s="343" t="s">
        <v>125</v>
      </c>
      <c r="B14" s="343"/>
      <c r="C14" s="343"/>
      <c r="D14" s="343"/>
      <c r="E14" s="88"/>
      <c r="G14" s="73" t="s">
        <v>180</v>
      </c>
      <c r="H14" s="26">
        <f>+D12</f>
        <v>137261987.8880094</v>
      </c>
      <c r="I14" s="26">
        <f>+$I$3-H14</f>
        <v>1016643743.1119906</v>
      </c>
    </row>
    <row r="15" spans="1:11" ht="15" thickBot="1">
      <c r="A15" s="135"/>
      <c r="B15" s="135"/>
      <c r="C15" s="135"/>
      <c r="D15" s="135"/>
      <c r="E15" s="88"/>
      <c r="G15" s="73" t="s">
        <v>181</v>
      </c>
      <c r="H15" s="26">
        <f>+D14</f>
        <v>0</v>
      </c>
      <c r="I15" s="26">
        <f>+$I$3-H15</f>
        <v>1153905731</v>
      </c>
    </row>
    <row r="16" spans="1:11" ht="15" outlineLevel="1" thickBot="1">
      <c r="G16" s="73" t="s">
        <v>182</v>
      </c>
      <c r="H16" s="26">
        <f>+D15</f>
        <v>0</v>
      </c>
      <c r="I16" s="26">
        <f>+$I$3-H16</f>
        <v>1153905731</v>
      </c>
    </row>
    <row r="17" spans="1:9" ht="14.1" customHeight="1" outlineLevel="1" thickBot="1">
      <c r="A17" s="83" t="s">
        <v>57</v>
      </c>
      <c r="B17" s="83" t="s">
        <v>58</v>
      </c>
      <c r="C17" s="83" t="s">
        <v>59</v>
      </c>
      <c r="D17" s="83" t="s">
        <v>60</v>
      </c>
      <c r="G17" s="73" t="s">
        <v>183</v>
      </c>
      <c r="H17" s="26">
        <f>+D16</f>
        <v>0</v>
      </c>
      <c r="I17" s="26">
        <f>+$I$3-H17</f>
        <v>1153905731</v>
      </c>
    </row>
    <row r="18" spans="1:9" outlineLevel="1">
      <c r="A18" s="19"/>
      <c r="B18" s="23"/>
      <c r="C18" s="89"/>
      <c r="D18" s="23"/>
      <c r="G18" s="27"/>
    </row>
    <row r="19" spans="1:9" outlineLevel="1">
      <c r="A19" s="19"/>
      <c r="B19" s="23"/>
      <c r="C19" s="89"/>
      <c r="D19" s="23"/>
      <c r="H19" s="344" t="s">
        <v>38</v>
      </c>
      <c r="I19" s="344"/>
    </row>
    <row r="20" spans="1:9" outlineLevel="1">
      <c r="A20" s="19"/>
      <c r="B20" s="23"/>
      <c r="C20" s="89"/>
      <c r="D20" s="23"/>
      <c r="H20" s="21" t="s">
        <v>39</v>
      </c>
      <c r="I20" s="21" t="s">
        <v>30</v>
      </c>
    </row>
    <row r="21" spans="1:9" outlineLevel="1">
      <c r="A21" s="19"/>
      <c r="B21" s="23"/>
      <c r="C21" s="89"/>
      <c r="D21" s="23"/>
      <c r="H21" s="21" t="s">
        <v>40</v>
      </c>
      <c r="I21" s="21" t="s">
        <v>41</v>
      </c>
    </row>
    <row r="22" spans="1:9" outlineLevel="1">
      <c r="A22" s="19"/>
      <c r="B22" s="23"/>
      <c r="C22" s="89"/>
      <c r="D22" s="23"/>
      <c r="H22" s="21" t="s">
        <v>42</v>
      </c>
      <c r="I22" s="21" t="s">
        <v>43</v>
      </c>
    </row>
    <row r="23" spans="1:9" outlineLevel="1">
      <c r="A23" s="19"/>
      <c r="B23" s="23"/>
      <c r="C23" s="28"/>
      <c r="D23" s="23"/>
      <c r="H23" s="21" t="s">
        <v>44</v>
      </c>
      <c r="I23" s="21" t="s">
        <v>45</v>
      </c>
    </row>
    <row r="24" spans="1:9" ht="16.2">
      <c r="A24" s="74" t="s">
        <v>24</v>
      </c>
      <c r="B24" s="75">
        <f>+SUM(B19:B23)</f>
        <v>0</v>
      </c>
      <c r="C24" s="76"/>
      <c r="D24" s="77">
        <f>+SUM(D19:D23)</f>
        <v>0</v>
      </c>
      <c r="H24" s="19" t="s">
        <v>46</v>
      </c>
      <c r="I24" s="19" t="s">
        <v>47</v>
      </c>
    </row>
    <row r="25" spans="1:9">
      <c r="H25" s="19" t="s">
        <v>48</v>
      </c>
      <c r="I25" s="19" t="s">
        <v>31</v>
      </c>
    </row>
    <row r="26" spans="1:9">
      <c r="A26" s="343" t="s">
        <v>124</v>
      </c>
      <c r="B26" s="343"/>
      <c r="C26" s="343"/>
      <c r="D26" s="343"/>
    </row>
    <row r="27" spans="1:9" outlineLevel="1"/>
    <row r="28" spans="1:9" ht="43.5" customHeight="1" outlineLevel="1">
      <c r="A28" s="78" t="s">
        <v>57</v>
      </c>
      <c r="B28" s="78" t="s">
        <v>58</v>
      </c>
      <c r="C28" s="83" t="s">
        <v>59</v>
      </c>
      <c r="D28" s="83" t="s">
        <v>60</v>
      </c>
      <c r="E28" s="83" t="s">
        <v>159</v>
      </c>
      <c r="F28" s="96"/>
    </row>
    <row r="29" spans="1:9" outlineLevel="1">
      <c r="A29" s="19" t="s">
        <v>115</v>
      </c>
      <c r="B29" s="101">
        <f>F29-IFERROR(VLOOKUP(A29,'Resumen General x Edades'!$D$118:$E$131,2,0),0)</f>
        <v>345646332</v>
      </c>
      <c r="C29" s="31">
        <v>0.9</v>
      </c>
      <c r="D29" s="99">
        <f t="shared" ref="D29:D59" si="1">+B29*C29</f>
        <v>311081698.80000001</v>
      </c>
      <c r="E29" t="str">
        <f>IFERROR(VLOOKUP(A29,$I$37:$I$49,1,0)," ")</f>
        <v>SANITAS</v>
      </c>
      <c r="F29" s="202">
        <v>351027111</v>
      </c>
    </row>
    <row r="30" spans="1:9" outlineLevel="1">
      <c r="A30" s="19" t="s">
        <v>108</v>
      </c>
      <c r="B30" s="101">
        <f>F30-IFERROR(VLOOKUP(A30,'Resumen General x Edades'!$D$118:$E$131,2,0),0)</f>
        <v>216308538</v>
      </c>
      <c r="C30" s="31">
        <v>0.9</v>
      </c>
      <c r="D30" s="99">
        <f t="shared" si="1"/>
        <v>194677684.20000002</v>
      </c>
      <c r="E30" t="str">
        <f t="shared" ref="E30:E59" si="2">IFERROR(VLOOKUP(A30,$I$37:$I$49,1,0)," ")</f>
        <v>EPS SURA (ANTES SUSALUD)</v>
      </c>
      <c r="F30" s="202">
        <v>216308538</v>
      </c>
    </row>
    <row r="31" spans="1:9" outlineLevel="1">
      <c r="A31" s="19" t="s">
        <v>114</v>
      </c>
      <c r="B31" s="101">
        <f>F31-IFERROR(VLOOKUP(A31,'Resumen General x Edades'!$D$118:$E$131,2,0),0)</f>
        <v>137964155</v>
      </c>
      <c r="C31" s="31">
        <v>0.9</v>
      </c>
      <c r="D31" s="99">
        <f>+B31*C31</f>
        <v>124167739.5</v>
      </c>
      <c r="E31" t="str">
        <f t="shared" si="2"/>
        <v xml:space="preserve"> </v>
      </c>
      <c r="F31" s="202">
        <v>137964155</v>
      </c>
      <c r="G31" s="200"/>
      <c r="H31" s="96"/>
    </row>
    <row r="32" spans="1:9" outlineLevel="1">
      <c r="A32" s="19" t="s">
        <v>109</v>
      </c>
      <c r="B32" s="101">
        <f>F32-IFERROR(VLOOKUP(A32,'Resumen General x Edades'!$D$118:$E$131,2,0),0)</f>
        <v>143469868</v>
      </c>
      <c r="C32" s="31">
        <v>0.9</v>
      </c>
      <c r="D32" s="99">
        <f t="shared" si="1"/>
        <v>129122881.2</v>
      </c>
      <c r="E32" t="str">
        <f t="shared" si="2"/>
        <v>FAMISANAR</v>
      </c>
      <c r="F32" s="202">
        <v>154659787</v>
      </c>
      <c r="G32" s="173"/>
      <c r="H32" s="88"/>
    </row>
    <row r="33" spans="1:9" outlineLevel="1">
      <c r="A33" s="19" t="s">
        <v>111</v>
      </c>
      <c r="B33" s="101">
        <f>F33-IFERROR(VLOOKUP(A33,'Resumen General x Edades'!$D$118:$E$131,2,0),0)</f>
        <v>121341879</v>
      </c>
      <c r="C33" s="31">
        <v>0.9</v>
      </c>
      <c r="D33" s="99">
        <f>+B33*C33</f>
        <v>109207691.10000001</v>
      </c>
      <c r="E33" t="str">
        <f t="shared" si="2"/>
        <v>NUEVA E.P.S.</v>
      </c>
      <c r="F33" s="202">
        <v>122080830</v>
      </c>
      <c r="G33" s="173">
        <v>2216570</v>
      </c>
      <c r="H33" s="88"/>
    </row>
    <row r="34" spans="1:9" outlineLevel="1">
      <c r="A34" s="19" t="s">
        <v>101</v>
      </c>
      <c r="B34" s="101">
        <f>F34-IFERROR(VLOOKUP(A34,'Resumen General x Edades'!$D$118:$E$131,2,0),0)</f>
        <v>50850241</v>
      </c>
      <c r="C34" s="31">
        <v>0.9</v>
      </c>
      <c r="D34" s="99">
        <f t="shared" si="1"/>
        <v>45765216.899999999</v>
      </c>
      <c r="E34" t="str">
        <f t="shared" si="2"/>
        <v>COMPENSAR</v>
      </c>
      <c r="F34" s="202">
        <v>59887597</v>
      </c>
      <c r="G34" s="173"/>
      <c r="H34" s="88"/>
    </row>
    <row r="35" spans="1:9" outlineLevel="1">
      <c r="A35" s="29" t="s">
        <v>91</v>
      </c>
      <c r="B35" s="101">
        <f>F35-IFERROR(VLOOKUP(A35,'Resumen General x Edades'!$D$118:$E$131,2,0),0)</f>
        <v>35755589</v>
      </c>
      <c r="C35" s="31">
        <v>0.9</v>
      </c>
      <c r="D35" s="99">
        <f t="shared" si="1"/>
        <v>32180030.100000001</v>
      </c>
      <c r="E35" t="str">
        <f t="shared" si="2"/>
        <v xml:space="preserve"> </v>
      </c>
      <c r="F35" s="202">
        <v>35755589</v>
      </c>
      <c r="G35" s="173"/>
      <c r="H35" s="88"/>
    </row>
    <row r="36" spans="1:9" outlineLevel="1">
      <c r="A36" s="19" t="s">
        <v>112</v>
      </c>
      <c r="B36" s="101">
        <f>F36-IFERROR(VLOOKUP(A36,'Resumen General x Edades'!$D$118:$E$131,2,0),0)</f>
        <v>30665850</v>
      </c>
      <c r="C36" s="31">
        <v>0.9</v>
      </c>
      <c r="D36" s="30">
        <f t="shared" si="1"/>
        <v>27599265</v>
      </c>
      <c r="E36" t="str">
        <f t="shared" si="2"/>
        <v xml:space="preserve"> </v>
      </c>
      <c r="F36" s="202">
        <v>30665850</v>
      </c>
      <c r="G36" s="173"/>
      <c r="H36" s="88"/>
    </row>
    <row r="37" spans="1:9" outlineLevel="1">
      <c r="A37" s="19" t="s">
        <v>99</v>
      </c>
      <c r="B37" s="101">
        <f>F37-IFERROR(VLOOKUP(A37,'Resumen General x Edades'!$D$118:$E$131,2,0),0)</f>
        <v>30084604</v>
      </c>
      <c r="C37" s="31">
        <v>0.9</v>
      </c>
      <c r="D37" s="30">
        <f t="shared" si="1"/>
        <v>27076143.600000001</v>
      </c>
      <c r="E37" t="str">
        <f t="shared" si="2"/>
        <v xml:space="preserve"> </v>
      </c>
      <c r="F37" s="202">
        <v>30464204</v>
      </c>
      <c r="G37" s="173"/>
      <c r="H37">
        <v>8600669427</v>
      </c>
      <c r="I37" s="133" t="s">
        <v>101</v>
      </c>
    </row>
    <row r="38" spans="1:9" outlineLevel="1">
      <c r="A38" s="19" t="s">
        <v>110</v>
      </c>
      <c r="B38" s="101">
        <f>F38-IFERROR(VLOOKUP(A38,'Resumen General x Edades'!$D$118:$E$131,2,0),0)</f>
        <v>19582331</v>
      </c>
      <c r="C38" s="31">
        <v>0.9</v>
      </c>
      <c r="D38" s="30">
        <f t="shared" si="1"/>
        <v>17624097.900000002</v>
      </c>
      <c r="E38" t="str">
        <f t="shared" si="2"/>
        <v>MEDIMAS EPS</v>
      </c>
      <c r="F38" s="202">
        <v>19582331</v>
      </c>
      <c r="G38" s="173"/>
      <c r="H38">
        <v>8140003371</v>
      </c>
      <c r="I38" s="133" t="s">
        <v>82</v>
      </c>
    </row>
    <row r="39" spans="1:9" outlineLevel="1">
      <c r="A39" s="19" t="s">
        <v>103</v>
      </c>
      <c r="B39" s="101">
        <f>F39-IFERROR(VLOOKUP(A39,'Resumen General x Edades'!$D$118:$E$131,2,0),0)</f>
        <v>17814953</v>
      </c>
      <c r="C39" s="31">
        <v>0.9</v>
      </c>
      <c r="D39" s="30">
        <f t="shared" si="1"/>
        <v>16033457.700000001</v>
      </c>
      <c r="E39" t="str">
        <f t="shared" si="2"/>
        <v>COOMEVA</v>
      </c>
      <c r="F39" s="202">
        <v>17814953</v>
      </c>
      <c r="G39" s="173"/>
      <c r="H39">
        <v>8000887022</v>
      </c>
      <c r="I39" s="133" t="s">
        <v>108</v>
      </c>
    </row>
    <row r="40" spans="1:9" outlineLevel="1">
      <c r="A40" s="19" t="s">
        <v>95</v>
      </c>
      <c r="B40" s="101">
        <f>F40-IFERROR(VLOOKUP(A40,'Resumen General x Edades'!$D$118:$E$131,2,0),0)</f>
        <v>-5489804</v>
      </c>
      <c r="C40" s="31">
        <v>0.9</v>
      </c>
      <c r="D40" s="30">
        <f t="shared" si="1"/>
        <v>-4940823.6000000006</v>
      </c>
      <c r="E40" t="str">
        <f t="shared" si="2"/>
        <v xml:space="preserve"> </v>
      </c>
      <c r="F40" s="202">
        <v>11698830</v>
      </c>
      <c r="G40" s="173"/>
      <c r="H40">
        <v>8300035647</v>
      </c>
      <c r="I40" s="133" t="s">
        <v>109</v>
      </c>
    </row>
    <row r="41" spans="1:9" outlineLevel="1">
      <c r="A41" s="19" t="s">
        <v>36</v>
      </c>
      <c r="B41" s="101">
        <f>F41-IFERROR(VLOOKUP(A41,'Resumen General x Edades'!$D$118:$E$131,2,0),0)</f>
        <v>8884331</v>
      </c>
      <c r="C41" s="31">
        <v>0.9</v>
      </c>
      <c r="D41" s="30">
        <f t="shared" si="1"/>
        <v>7995897.9000000004</v>
      </c>
      <c r="E41" t="str">
        <f t="shared" si="2"/>
        <v xml:space="preserve"> </v>
      </c>
      <c r="F41" s="202">
        <v>8884331</v>
      </c>
      <c r="G41" s="173"/>
      <c r="H41">
        <v>8002514406</v>
      </c>
      <c r="I41" s="133" t="s">
        <v>115</v>
      </c>
    </row>
    <row r="42" spans="1:9" outlineLevel="1">
      <c r="A42" s="29" t="s">
        <v>104</v>
      </c>
      <c r="B42" s="101">
        <f>F42-IFERROR(VLOOKUP(A42,'Resumen General x Edades'!$D$118:$E$131,2,0),0)</f>
        <v>7758609</v>
      </c>
      <c r="C42" s="31">
        <v>0.9</v>
      </c>
      <c r="D42" s="30">
        <f t="shared" si="1"/>
        <v>6982748.1000000006</v>
      </c>
      <c r="E42" t="str">
        <f t="shared" si="2"/>
        <v xml:space="preserve"> </v>
      </c>
      <c r="F42" s="202">
        <v>10271943</v>
      </c>
      <c r="G42" s="173"/>
      <c r="H42">
        <v>9001562642</v>
      </c>
      <c r="I42" s="133" t="s">
        <v>111</v>
      </c>
    </row>
    <row r="43" spans="1:9" outlineLevel="1">
      <c r="A43" s="29" t="s">
        <v>82</v>
      </c>
      <c r="B43" s="101">
        <f>F43-IFERROR(VLOOKUP(A43,'Resumen General x Edades'!$D$118:$E$131,2,0),0)</f>
        <v>8131800</v>
      </c>
      <c r="C43" s="31">
        <v>0.9</v>
      </c>
      <c r="D43" s="30">
        <f t="shared" si="1"/>
        <v>7318620</v>
      </c>
      <c r="E43" t="str">
        <f t="shared" si="2"/>
        <v>EMSSANAR</v>
      </c>
      <c r="F43" s="202">
        <v>8131800</v>
      </c>
      <c r="G43" s="173"/>
      <c r="I43" s="133" t="s">
        <v>110</v>
      </c>
    </row>
    <row r="44" spans="1:9" outlineLevel="1">
      <c r="A44" s="19" t="s">
        <v>93</v>
      </c>
      <c r="B44" s="101">
        <f>F44-IFERROR(VLOOKUP(A44,'Resumen General x Edades'!$D$118:$E$131,2,0),0)</f>
        <v>7007873</v>
      </c>
      <c r="C44" s="31">
        <v>0.9</v>
      </c>
      <c r="D44" s="30">
        <f t="shared" si="1"/>
        <v>6307085.7000000002</v>
      </c>
      <c r="E44" t="str">
        <f t="shared" si="2"/>
        <v xml:space="preserve"> </v>
      </c>
      <c r="F44" s="202">
        <v>7007873</v>
      </c>
      <c r="G44" s="173"/>
      <c r="I44" s="133" t="s">
        <v>103</v>
      </c>
    </row>
    <row r="45" spans="1:9" ht="16.05" customHeight="1" outlineLevel="1">
      <c r="A45" s="19" t="s">
        <v>37</v>
      </c>
      <c r="B45" s="101">
        <f>F45-IFERROR(VLOOKUP(A45,'Resumen General x Edades'!$D$118:$E$131,2,0),0)</f>
        <v>6653090</v>
      </c>
      <c r="C45" s="31">
        <v>0.9</v>
      </c>
      <c r="D45" s="30">
        <f t="shared" si="1"/>
        <v>5987781</v>
      </c>
      <c r="E45" t="str">
        <f t="shared" si="2"/>
        <v xml:space="preserve"> </v>
      </c>
      <c r="F45" s="202">
        <v>6653090</v>
      </c>
      <c r="G45" s="201"/>
      <c r="I45" s="19"/>
    </row>
    <row r="46" spans="1:9" outlineLevel="1">
      <c r="A46" s="19" t="s">
        <v>94</v>
      </c>
      <c r="B46" s="101">
        <f>F46-IFERROR(VLOOKUP(A46,'Resumen General x Edades'!$D$118:$E$131,2,0),0)</f>
        <v>-975006</v>
      </c>
      <c r="C46" s="31">
        <v>0.9</v>
      </c>
      <c r="D46" s="30">
        <f t="shared" si="1"/>
        <v>-877505.4</v>
      </c>
      <c r="E46" t="str">
        <f t="shared" si="2"/>
        <v xml:space="preserve"> </v>
      </c>
      <c r="F46" s="202">
        <v>4484994</v>
      </c>
      <c r="G46" s="173"/>
      <c r="I46" s="19"/>
    </row>
    <row r="47" spans="1:9" outlineLevel="1">
      <c r="A47" s="19" t="s">
        <v>113</v>
      </c>
      <c r="B47" s="101">
        <f>F47-IFERROR(VLOOKUP(A47,'Resumen General x Edades'!$D$118:$E$131,2,0),0)</f>
        <v>2022208</v>
      </c>
      <c r="C47" s="31">
        <v>0.9</v>
      </c>
      <c r="D47" s="30">
        <f t="shared" si="1"/>
        <v>1819987.2</v>
      </c>
      <c r="E47" t="str">
        <f t="shared" si="2"/>
        <v xml:space="preserve"> </v>
      </c>
      <c r="F47" s="202">
        <v>2022208</v>
      </c>
      <c r="G47" s="173"/>
      <c r="I47" s="19"/>
    </row>
    <row r="48" spans="1:9" outlineLevel="1">
      <c r="A48" s="19" t="s">
        <v>34</v>
      </c>
      <c r="B48" s="101">
        <f>F48-IFERROR(VLOOKUP(A48,'Resumen General x Edades'!$D$118:$E$131,2,0),0)</f>
        <v>1211961</v>
      </c>
      <c r="C48" s="31">
        <v>0.9</v>
      </c>
      <c r="D48" s="30">
        <f t="shared" si="1"/>
        <v>1090764.9000000001</v>
      </c>
      <c r="E48" t="str">
        <f t="shared" si="2"/>
        <v xml:space="preserve"> </v>
      </c>
      <c r="F48" s="202">
        <v>1211961</v>
      </c>
      <c r="G48" s="173"/>
      <c r="I48" s="133"/>
    </row>
    <row r="49" spans="1:9" outlineLevel="1">
      <c r="A49" s="19" t="s">
        <v>116</v>
      </c>
      <c r="B49" s="101">
        <f>F49-IFERROR(VLOOKUP(A49,'Resumen General x Edades'!$D$118:$E$131,2,0),0)</f>
        <v>799168</v>
      </c>
      <c r="C49" s="31">
        <v>0.9</v>
      </c>
      <c r="D49" s="30">
        <f t="shared" si="1"/>
        <v>719251.20000000007</v>
      </c>
      <c r="E49" t="str">
        <f t="shared" si="2"/>
        <v xml:space="preserve"> </v>
      </c>
      <c r="F49" s="202">
        <v>799168</v>
      </c>
      <c r="G49" s="173"/>
      <c r="I49" s="133"/>
    </row>
    <row r="50" spans="1:9" outlineLevel="1">
      <c r="A50" s="19" t="s">
        <v>98</v>
      </c>
      <c r="B50" s="101">
        <f>F50-IFERROR(VLOOKUP(A50,'Resumen General x Edades'!$D$118:$E$131,2,0),0)</f>
        <v>535711</v>
      </c>
      <c r="C50" s="31">
        <v>0.9</v>
      </c>
      <c r="D50" s="30">
        <f t="shared" si="1"/>
        <v>482139.9</v>
      </c>
      <c r="E50" t="str">
        <f t="shared" si="2"/>
        <v xml:space="preserve"> </v>
      </c>
      <c r="F50" s="202">
        <v>535711</v>
      </c>
      <c r="G50" s="173"/>
    </row>
    <row r="51" spans="1:9" outlineLevel="1">
      <c r="A51" s="19" t="s">
        <v>92</v>
      </c>
      <c r="B51" s="101">
        <f>F51-IFERROR(VLOOKUP(A51,'Resumen General x Edades'!$D$118:$E$131,2,0),0)</f>
        <v>1381823</v>
      </c>
      <c r="C51" s="31">
        <v>0.9</v>
      </c>
      <c r="D51" s="30">
        <f t="shared" si="1"/>
        <v>1243640.7</v>
      </c>
      <c r="E51" t="str">
        <f t="shared" si="2"/>
        <v xml:space="preserve"> </v>
      </c>
      <c r="F51" s="202">
        <v>1381823</v>
      </c>
      <c r="G51" s="173"/>
    </row>
    <row r="52" spans="1:9" outlineLevel="1">
      <c r="A52" s="19" t="s">
        <v>96</v>
      </c>
      <c r="B52" s="101">
        <f>F52-IFERROR(VLOOKUP(A52,'Resumen General x Edades'!$D$118:$E$131,2,0),0)</f>
        <v>358576</v>
      </c>
      <c r="C52" s="31">
        <v>0.9</v>
      </c>
      <c r="D52" s="30">
        <f t="shared" si="1"/>
        <v>322718.40000000002</v>
      </c>
      <c r="E52" t="str">
        <f t="shared" si="2"/>
        <v xml:space="preserve"> </v>
      </c>
      <c r="F52" s="202">
        <v>358576</v>
      </c>
      <c r="G52" s="173"/>
    </row>
    <row r="53" spans="1:9" outlineLevel="1">
      <c r="A53" s="19" t="s">
        <v>100</v>
      </c>
      <c r="B53" s="101">
        <f>F53-IFERROR(VLOOKUP(A53,'Resumen General x Edades'!$D$118:$E$131,2,0),0)</f>
        <v>213565</v>
      </c>
      <c r="C53" s="31">
        <v>0.9</v>
      </c>
      <c r="D53" s="30">
        <f t="shared" si="1"/>
        <v>192208.5</v>
      </c>
      <c r="E53" t="str">
        <f t="shared" si="2"/>
        <v xml:space="preserve"> </v>
      </c>
      <c r="F53" s="202">
        <v>213565</v>
      </c>
      <c r="G53" s="173"/>
    </row>
    <row r="54" spans="1:9" outlineLevel="1">
      <c r="A54" s="19" t="s">
        <v>105</v>
      </c>
      <c r="B54" s="101">
        <f>F54-IFERROR(VLOOKUP(A54,'Resumen General x Edades'!$D$118:$E$131,2,0),0)</f>
        <v>-1961520</v>
      </c>
      <c r="C54" s="31">
        <v>0.9</v>
      </c>
      <c r="D54" s="30">
        <f t="shared" si="1"/>
        <v>-1765368</v>
      </c>
      <c r="E54" t="str">
        <f t="shared" si="2"/>
        <v xml:space="preserve"> </v>
      </c>
      <c r="F54" s="202">
        <v>83872</v>
      </c>
      <c r="G54" s="173"/>
    </row>
    <row r="55" spans="1:9" outlineLevel="1">
      <c r="A55" s="19" t="s">
        <v>106</v>
      </c>
      <c r="B55" s="101">
        <f>F55-IFERROR(VLOOKUP(A55,'Resumen General x Edades'!$D$118:$E$131,2,0),0)</f>
        <v>50693</v>
      </c>
      <c r="C55" s="31">
        <v>0.9</v>
      </c>
      <c r="D55" s="30">
        <f t="shared" si="1"/>
        <v>45623.700000000004</v>
      </c>
      <c r="E55" t="str">
        <f t="shared" si="2"/>
        <v xml:space="preserve"> </v>
      </c>
      <c r="F55" s="202">
        <v>50693</v>
      </c>
      <c r="G55" s="173"/>
    </row>
    <row r="56" spans="1:9" outlineLevel="1">
      <c r="A56" s="19" t="s">
        <v>35</v>
      </c>
      <c r="B56" s="101">
        <f>F56-IFERROR(VLOOKUP(A56,'Resumen General x Edades'!$D$118:$E$131,2,0),0)</f>
        <v>39842</v>
      </c>
      <c r="C56" s="31">
        <v>0.9</v>
      </c>
      <c r="D56" s="30">
        <f t="shared" si="1"/>
        <v>35857.800000000003</v>
      </c>
      <c r="E56" t="str">
        <f t="shared" si="2"/>
        <v xml:space="preserve"> </v>
      </c>
      <c r="F56" s="202">
        <v>39842</v>
      </c>
      <c r="G56" s="173"/>
    </row>
    <row r="57" spans="1:9" outlineLevel="1">
      <c r="A57" s="19" t="s">
        <v>97</v>
      </c>
      <c r="B57" s="101">
        <f>F57-IFERROR(VLOOKUP(A57,'Resumen General x Edades'!$D$118:$E$131,2,0),0)</f>
        <v>36197</v>
      </c>
      <c r="C57" s="31">
        <v>0.9</v>
      </c>
      <c r="D57" s="30">
        <f t="shared" si="1"/>
        <v>32577.3</v>
      </c>
      <c r="E57" t="str">
        <f t="shared" si="2"/>
        <v xml:space="preserve"> </v>
      </c>
      <c r="F57" s="202">
        <v>36197</v>
      </c>
      <c r="G57" s="173"/>
    </row>
    <row r="58" spans="1:9" outlineLevel="1">
      <c r="A58" s="19" t="s">
        <v>136</v>
      </c>
      <c r="B58" s="101">
        <f>F58-IFERROR(VLOOKUP(A58,'Resumen General x Edades'!$D$118:$E$131,2,0),0)</f>
        <v>19731</v>
      </c>
      <c r="C58" s="31">
        <v>0.9</v>
      </c>
      <c r="D58" s="30">
        <f t="shared" si="1"/>
        <v>17757.900000000001</v>
      </c>
      <c r="E58" t="str">
        <f>IFERROR(VLOOKUP(A58,$I$37:$I$49,1,0)," ")</f>
        <v xml:space="preserve"> </v>
      </c>
      <c r="F58" s="202">
        <v>19731</v>
      </c>
      <c r="G58" s="173"/>
    </row>
    <row r="59" spans="1:9" outlineLevel="1">
      <c r="A59" s="19" t="s">
        <v>102</v>
      </c>
      <c r="B59" s="101">
        <f>F59-IFERROR(VLOOKUP(A59,'Resumen General x Edades'!$D$118:$E$131,2,0),0)</f>
        <v>13281</v>
      </c>
      <c r="C59" s="31">
        <v>0.9</v>
      </c>
      <c r="D59" s="30">
        <f t="shared" si="1"/>
        <v>11952.9</v>
      </c>
      <c r="E59" t="str">
        <f t="shared" si="2"/>
        <v xml:space="preserve"> </v>
      </c>
      <c r="F59" s="202">
        <v>13281</v>
      </c>
      <c r="G59" s="173"/>
    </row>
    <row r="60" spans="1:9" outlineLevel="1">
      <c r="A60" s="19" t="s">
        <v>107</v>
      </c>
      <c r="B60" s="101">
        <f>F60-IFERROR(VLOOKUP(A60,'Resumen General x Edades'!$D$118:$E$131,2,0),0)</f>
        <v>2682804</v>
      </c>
      <c r="C60" s="31">
        <v>0.9</v>
      </c>
      <c r="D60" s="30">
        <f>+B60*C60</f>
        <v>2414523.6</v>
      </c>
      <c r="F60" s="202">
        <v>2682804</v>
      </c>
      <c r="G60" s="173"/>
    </row>
    <row r="61" spans="1:9" outlineLevel="1">
      <c r="A61" s="19" t="s">
        <v>117</v>
      </c>
      <c r="B61" s="101">
        <f>F61-IFERROR(VLOOKUP(A61,'Resumen General x Edades'!$D$118:$E$131,2,0),0)</f>
        <v>536590</v>
      </c>
      <c r="C61" s="31">
        <v>0.9</v>
      </c>
      <c r="D61" s="30">
        <f>+B61*C61</f>
        <v>482931</v>
      </c>
      <c r="F61" s="202">
        <v>536590</v>
      </c>
      <c r="G61" s="173"/>
    </row>
    <row r="62" spans="1:9">
      <c r="A62" s="74" t="s">
        <v>61</v>
      </c>
      <c r="B62" s="79">
        <f>+SUM(B29:B61)</f>
        <v>1189395863</v>
      </c>
      <c r="C62" s="79"/>
      <c r="D62" s="79">
        <f>+SUM(D29:D61)</f>
        <v>1070456276.7000002</v>
      </c>
      <c r="E62" s="88"/>
      <c r="F62" s="79">
        <f>+SUM(F29:F61)</f>
        <v>1243329828</v>
      </c>
      <c r="G62" s="173">
        <f>+F62-B62</f>
        <v>53933965</v>
      </c>
      <c r="H62" s="207"/>
      <c r="I62" s="207"/>
    </row>
    <row r="63" spans="1:9">
      <c r="B63" s="70"/>
      <c r="F63" s="70"/>
      <c r="G63" s="173"/>
    </row>
    <row r="64" spans="1:9">
      <c r="A64" s="91"/>
      <c r="B64" s="91"/>
      <c r="F64" s="88"/>
    </row>
    <row r="65" spans="1:13">
      <c r="A65" s="91"/>
      <c r="B65" s="91"/>
      <c r="C65" s="183" t="s">
        <v>126</v>
      </c>
      <c r="D65" s="32">
        <f>+D12</f>
        <v>137261987.8880094</v>
      </c>
      <c r="F65" s="5"/>
      <c r="G65" s="88"/>
    </row>
    <row r="66" spans="1:13">
      <c r="A66" s="91"/>
      <c r="B66" s="91"/>
      <c r="C66" s="183" t="s">
        <v>127</v>
      </c>
      <c r="D66" s="32">
        <f>+D24</f>
        <v>0</v>
      </c>
      <c r="F66" s="5"/>
    </row>
    <row r="67" spans="1:13">
      <c r="A67" s="91"/>
      <c r="B67" s="91"/>
      <c r="C67" s="183" t="s">
        <v>128</v>
      </c>
      <c r="D67" s="32">
        <f>+D62</f>
        <v>1070456276.7000002</v>
      </c>
      <c r="F67" s="5"/>
    </row>
    <row r="68" spans="1:13">
      <c r="B68" s="90"/>
      <c r="C68" s="183" t="s">
        <v>62</v>
      </c>
      <c r="D68" s="32">
        <f>+D12+D24+D62</f>
        <v>1207718264.5880096</v>
      </c>
      <c r="F68" s="5"/>
    </row>
    <row r="69" spans="1:13">
      <c r="C69" s="183" t="s">
        <v>63</v>
      </c>
      <c r="D69" s="32">
        <f>ROUND(I3,-3)</f>
        <v>1153906000</v>
      </c>
      <c r="F69" s="5"/>
    </row>
    <row r="70" spans="1:13">
      <c r="C70" s="183" t="s">
        <v>64</v>
      </c>
      <c r="D70" s="32">
        <f>ROUND(((D62*100%)+D12)-D69,-2)</f>
        <v>53812300</v>
      </c>
      <c r="F70" s="5"/>
    </row>
    <row r="71" spans="1:13">
      <c r="C71" s="183" t="s">
        <v>129</v>
      </c>
      <c r="D71" s="32">
        <f>+D69+D70</f>
        <v>1207718300</v>
      </c>
      <c r="E71" s="5"/>
      <c r="F71" s="5"/>
      <c r="I71" s="55"/>
      <c r="J71" s="93"/>
      <c r="K71" s="93"/>
    </row>
    <row r="72" spans="1:13">
      <c r="D72" s="5"/>
      <c r="F72" s="162"/>
      <c r="G72" s="162"/>
      <c r="H72" s="163"/>
      <c r="I72" s="163"/>
      <c r="J72" s="163"/>
      <c r="K72" s="93"/>
      <c r="L72" s="165"/>
      <c r="M72" s="92"/>
    </row>
    <row r="73" spans="1:13">
      <c r="C73" s="134"/>
      <c r="D73" s="134"/>
      <c r="F73" s="135"/>
      <c r="G73" s="135"/>
      <c r="H73" s="94"/>
      <c r="I73" s="94"/>
      <c r="J73" s="94"/>
      <c r="K73" s="93"/>
      <c r="L73" s="94"/>
    </row>
    <row r="74" spans="1:13">
      <c r="F74" s="100"/>
    </row>
    <row r="75" spans="1:13">
      <c r="D75" s="95"/>
      <c r="F75" s="98"/>
    </row>
    <row r="76" spans="1:13">
      <c r="D76" s="95"/>
    </row>
    <row r="81" spans="3:16" s="20" customFormat="1" ht="50.1" customHeight="1">
      <c r="C81" s="109" t="s">
        <v>144</v>
      </c>
      <c r="D81" s="109" t="s">
        <v>126</v>
      </c>
      <c r="E81" s="109" t="s">
        <v>127</v>
      </c>
      <c r="F81" s="109" t="s">
        <v>128</v>
      </c>
      <c r="G81" s="109" t="s">
        <v>62</v>
      </c>
      <c r="H81" s="109" t="s">
        <v>63</v>
      </c>
      <c r="I81" s="109" t="s">
        <v>64</v>
      </c>
      <c r="J81" s="109" t="s">
        <v>129</v>
      </c>
      <c r="K81" s="110" t="s">
        <v>145</v>
      </c>
      <c r="L81" s="110" t="s">
        <v>154</v>
      </c>
      <c r="M81" s="110" t="s">
        <v>156</v>
      </c>
      <c r="N81" s="110" t="s">
        <v>186</v>
      </c>
      <c r="O81" s="110" t="s">
        <v>187</v>
      </c>
      <c r="P81" s="110" t="s">
        <v>188</v>
      </c>
    </row>
    <row r="82" spans="3:16">
      <c r="C82" s="203" t="s">
        <v>222</v>
      </c>
      <c r="D82" s="108">
        <v>61831570.171090469</v>
      </c>
      <c r="E82" s="108">
        <v>0</v>
      </c>
      <c r="F82" s="108">
        <v>1096357799.7</v>
      </c>
      <c r="G82" s="108">
        <v>1158189369.8710904</v>
      </c>
      <c r="H82" s="108">
        <v>1185998000</v>
      </c>
      <c r="I82" s="108">
        <v>-27808600</v>
      </c>
      <c r="J82" s="108">
        <v>1158189400</v>
      </c>
      <c r="K82" s="108">
        <v>226734437</v>
      </c>
      <c r="L82" s="108">
        <v>1437679025</v>
      </c>
      <c r="M82" s="137">
        <v>0.80559664560731836</v>
      </c>
      <c r="N82" s="108">
        <v>10078131179</v>
      </c>
      <c r="O82" s="108">
        <v>8022491492</v>
      </c>
      <c r="P82" s="108">
        <v>410506751</v>
      </c>
    </row>
    <row r="83" spans="3:16">
      <c r="C83" s="203" t="s">
        <v>224</v>
      </c>
      <c r="D83" s="108">
        <v>86838136.09129405</v>
      </c>
      <c r="E83" s="108">
        <v>0</v>
      </c>
      <c r="F83" s="108">
        <v>1106417348.9999998</v>
      </c>
      <c r="G83" s="108">
        <v>1193255485.0912938</v>
      </c>
      <c r="H83" s="108">
        <v>1158189000</v>
      </c>
      <c r="I83" s="108">
        <v>35066500</v>
      </c>
      <c r="J83" s="108">
        <v>1193255500</v>
      </c>
      <c r="K83" s="108">
        <v>172548411</v>
      </c>
      <c r="L83" s="108">
        <v>1525494146</v>
      </c>
      <c r="M83" s="137">
        <v>0.78220916358731152</v>
      </c>
      <c r="N83" s="108">
        <v>10338494711</v>
      </c>
      <c r="O83" s="108">
        <v>8163181055</v>
      </c>
      <c r="P83" s="108">
        <v>410506751</v>
      </c>
    </row>
    <row r="84" spans="3:16" ht="14.25" customHeight="1">
      <c r="C84" s="203" t="s">
        <v>226</v>
      </c>
      <c r="D84" s="108">
        <v>84014618.309578866</v>
      </c>
      <c r="E84" s="108">
        <v>0</v>
      </c>
      <c r="F84" s="108">
        <v>1093690701.9000008</v>
      </c>
      <c r="G84" s="108">
        <v>1177705320.2095797</v>
      </c>
      <c r="H84" s="108">
        <v>1193256000</v>
      </c>
      <c r="I84" s="108">
        <v>-15550700</v>
      </c>
      <c r="J84" s="108">
        <v>1177705300</v>
      </c>
      <c r="K84" s="108">
        <v>281386638</v>
      </c>
      <c r="L84" s="108">
        <v>1499516292</v>
      </c>
      <c r="M84" s="137">
        <v>0.78539013299363336</v>
      </c>
      <c r="N84" s="108">
        <v>10591333695</v>
      </c>
      <c r="O84" s="108">
        <v>8432784844</v>
      </c>
      <c r="P84" s="108">
        <v>410506751</v>
      </c>
    </row>
    <row r="85" spans="3:16">
      <c r="C85" s="203" t="s">
        <v>230</v>
      </c>
      <c r="D85" s="108">
        <v>85571037.808511838</v>
      </c>
      <c r="E85" s="108">
        <v>0</v>
      </c>
      <c r="F85" s="108">
        <v>1097008078.5000005</v>
      </c>
      <c r="G85" s="108">
        <v>1182579116.3085122</v>
      </c>
      <c r="H85" s="108">
        <v>1177705000</v>
      </c>
      <c r="I85" s="108">
        <v>4874100</v>
      </c>
      <c r="J85" s="108">
        <v>1182579100</v>
      </c>
      <c r="K85" s="108">
        <v>219874012</v>
      </c>
      <c r="L85" s="108">
        <v>1467717280</v>
      </c>
      <c r="M85" s="137">
        <v>0.80572676776006891</v>
      </c>
      <c r="N85" s="108">
        <v>10850646013</v>
      </c>
      <c r="O85" s="108">
        <v>8686694811</v>
      </c>
      <c r="P85" s="108">
        <v>481744069</v>
      </c>
    </row>
    <row r="86" spans="3:16">
      <c r="C86" s="260" t="s">
        <v>231</v>
      </c>
      <c r="D86" s="108">
        <v>77071845.348754644</v>
      </c>
      <c r="E86" s="108">
        <v>0</v>
      </c>
      <c r="F86" s="108">
        <v>1042024652.9999995</v>
      </c>
      <c r="G86" s="108">
        <v>1119096498.3487501</v>
      </c>
      <c r="H86" s="108">
        <v>1182579000</v>
      </c>
      <c r="I86" s="108">
        <v>-63482500</v>
      </c>
      <c r="J86" s="108">
        <v>1119096500</v>
      </c>
      <c r="K86" s="108">
        <v>297209276</v>
      </c>
      <c r="L86" s="108">
        <v>1400699685</v>
      </c>
      <c r="M86" s="137">
        <v>0.79895534494962062</v>
      </c>
      <c r="N86" s="108">
        <v>11076339938</v>
      </c>
      <c r="O86" s="108">
        <v>8981020937</v>
      </c>
      <c r="P86" s="108">
        <v>481744069</v>
      </c>
    </row>
    <row r="87" spans="3:16">
      <c r="C87" s="259" t="s">
        <v>322</v>
      </c>
      <c r="D87" s="108">
        <v>85527230.802210227</v>
      </c>
      <c r="E87" s="108">
        <v>0</v>
      </c>
      <c r="F87" s="108">
        <v>1068378994.8000002</v>
      </c>
      <c r="G87" s="108">
        <v>1153906225.6022105</v>
      </c>
      <c r="H87" s="108">
        <v>1119097000</v>
      </c>
      <c r="I87" s="108">
        <v>34809200</v>
      </c>
      <c r="J87" s="108">
        <v>1153906200</v>
      </c>
      <c r="K87" s="108">
        <v>160786555</v>
      </c>
      <c r="L87" s="108">
        <v>1450984915</v>
      </c>
      <c r="M87" s="137">
        <v>0.79525719948646056</v>
      </c>
      <c r="N87" s="108">
        <v>11291213433</v>
      </c>
      <c r="O87" s="108">
        <v>9106858590</v>
      </c>
      <c r="P87" s="108">
        <v>481744069</v>
      </c>
    </row>
    <row r="88" spans="3:16">
      <c r="C88" s="259" t="s">
        <v>323</v>
      </c>
      <c r="D88" s="108">
        <f>+D65</f>
        <v>137261987.8880094</v>
      </c>
      <c r="E88" s="108">
        <v>0</v>
      </c>
      <c r="F88" s="108">
        <f>+D67</f>
        <v>1070456276.7000002</v>
      </c>
      <c r="G88" s="108">
        <f>SUM(D88:F88)</f>
        <v>1207718264.5880096</v>
      </c>
      <c r="H88" s="108">
        <f>+D69</f>
        <v>1153906000</v>
      </c>
      <c r="I88" s="108">
        <f>+D70</f>
        <v>53812300</v>
      </c>
      <c r="J88" s="108">
        <f>+D71</f>
        <v>1207718300</v>
      </c>
      <c r="K88" s="108">
        <f>+GETPIVOTDATA("Valor",$C$193,"Fecha de documento",9,"Años",2025)</f>
        <v>295802141</v>
      </c>
      <c r="L88" s="108">
        <f>+PROVISION!J23</f>
        <v>1412815123</v>
      </c>
      <c r="M88" s="137">
        <f>IFERROR(J88/L88,0)</f>
        <v>0.85483109597206652</v>
      </c>
      <c r="N88" s="108">
        <f>'Resumen General x Edades'!D72</f>
        <v>11548845782</v>
      </c>
      <c r="O88" s="108">
        <f>+PROVISION!C14</f>
        <v>9600731677</v>
      </c>
      <c r="P88" s="108">
        <f>'Resumen General x Edades'!F72</f>
        <v>481744069</v>
      </c>
    </row>
    <row r="89" spans="3:16" hidden="1">
      <c r="C89" s="259" t="s">
        <v>324</v>
      </c>
      <c r="D89" s="136">
        <f>+D65</f>
        <v>137261987.8880094</v>
      </c>
      <c r="E89" s="136"/>
      <c r="F89" s="136">
        <f>+D67</f>
        <v>1070456276.7000002</v>
      </c>
      <c r="G89" s="136">
        <f>SUM(D89:F89)</f>
        <v>1207718264.5880096</v>
      </c>
      <c r="H89" s="136">
        <f>+D70</f>
        <v>53812300</v>
      </c>
      <c r="I89" s="136">
        <f>+D70</f>
        <v>53812300</v>
      </c>
      <c r="J89" s="136">
        <f>+D71</f>
        <v>1207718300</v>
      </c>
      <c r="K89" s="108">
        <f>+GETPIVOTDATA("Valor",$C$193,"Fecha de documento",7,"Años",2025)</f>
        <v>297209276</v>
      </c>
      <c r="L89" s="108">
        <f>+PROVISION!J23</f>
        <v>1412815123</v>
      </c>
      <c r="M89" s="137">
        <f>IFERROR(J89/L89,0)</f>
        <v>0.85483109597206652</v>
      </c>
      <c r="N89" s="108">
        <f>'Resumen General x Edades'!D72</f>
        <v>11548845782</v>
      </c>
      <c r="O89" s="108">
        <f>+PROVISION!C14</f>
        <v>9600731677</v>
      </c>
      <c r="P89" s="108">
        <f>'Resumen General x Edades'!F72</f>
        <v>481744069</v>
      </c>
    </row>
    <row r="90" spans="3:16" hidden="1">
      <c r="C90" s="259" t="s">
        <v>325</v>
      </c>
      <c r="D90" s="136">
        <f>+D65</f>
        <v>137261987.8880094</v>
      </c>
      <c r="E90" s="136"/>
      <c r="F90" s="136">
        <f>+D67</f>
        <v>1070456276.7000002</v>
      </c>
      <c r="G90" s="136">
        <f>SUM(D90:F90)</f>
        <v>1207718264.5880096</v>
      </c>
      <c r="H90" s="136">
        <f>+D70</f>
        <v>53812300</v>
      </c>
      <c r="I90" s="136">
        <f>+D70</f>
        <v>53812300</v>
      </c>
      <c r="J90" s="136">
        <f>+D71</f>
        <v>1207718300</v>
      </c>
      <c r="K90" s="108">
        <f>+GETPIVOTDATA("Valor",$C$193,"Fecha de documento",7,"Años",2025)</f>
        <v>297209276</v>
      </c>
      <c r="L90" s="108">
        <f>+PROVISION!J23</f>
        <v>1412815123</v>
      </c>
      <c r="M90" s="137">
        <f>IFERROR(J90/L90,0)</f>
        <v>0.85483109597206652</v>
      </c>
      <c r="N90" s="108">
        <f>'Resumen General x Edades'!D72</f>
        <v>11548845782</v>
      </c>
      <c r="O90" s="108">
        <f>+PROVISION!C14</f>
        <v>9600731677</v>
      </c>
      <c r="P90" s="108">
        <f>'Resumen General x Edades'!F72</f>
        <v>481744069</v>
      </c>
    </row>
    <row r="91" spans="3:16" hidden="1">
      <c r="C91" s="259" t="s">
        <v>326</v>
      </c>
      <c r="D91" s="136">
        <f>+D65</f>
        <v>137261987.8880094</v>
      </c>
      <c r="E91" s="136"/>
      <c r="F91" s="136">
        <f>+D67</f>
        <v>1070456276.7000002</v>
      </c>
      <c r="G91" s="136">
        <f>SUM(D91:F91)</f>
        <v>1207718264.5880096</v>
      </c>
      <c r="H91" s="136">
        <f>+D70</f>
        <v>53812300</v>
      </c>
      <c r="I91" s="136">
        <f>+D70</f>
        <v>53812300</v>
      </c>
      <c r="J91" s="136">
        <f>+D71</f>
        <v>1207718300</v>
      </c>
      <c r="K91" s="108">
        <f>+GETPIVOTDATA("Valor",$C$193,"Fecha de documento",7,"Años",2025)</f>
        <v>297209276</v>
      </c>
      <c r="L91" s="108">
        <f>+PROVISION!J23</f>
        <v>1412815123</v>
      </c>
      <c r="M91" s="137">
        <f>IFERROR(J91/L91,0)</f>
        <v>0.85483109597206652</v>
      </c>
      <c r="N91" s="108">
        <f>'Resumen General x Edades'!D72</f>
        <v>11548845782</v>
      </c>
      <c r="O91" s="108">
        <f>+PROVISION!C14</f>
        <v>9600731677</v>
      </c>
      <c r="P91" s="108">
        <f>'Resumen General x Edades'!F72</f>
        <v>481744069</v>
      </c>
    </row>
    <row r="96" spans="3:16">
      <c r="C96" s="111" t="s">
        <v>146</v>
      </c>
    </row>
    <row r="98" spans="3:10">
      <c r="C98" s="103" t="s">
        <v>144</v>
      </c>
      <c r="D98" s="103" t="s">
        <v>126</v>
      </c>
      <c r="E98" s="103" t="s">
        <v>127</v>
      </c>
      <c r="F98" s="103" t="s">
        <v>128</v>
      </c>
      <c r="G98" s="103" t="s">
        <v>62</v>
      </c>
      <c r="H98" s="103" t="s">
        <v>63</v>
      </c>
      <c r="I98" s="103" t="s">
        <v>64</v>
      </c>
      <c r="J98" s="103" t="s">
        <v>129</v>
      </c>
    </row>
    <row r="99" spans="3:10">
      <c r="C99" s="100" t="s">
        <v>222</v>
      </c>
      <c r="D99" s="108">
        <v>61831570.171090469</v>
      </c>
      <c r="E99" s="100">
        <v>0</v>
      </c>
      <c r="F99" s="108">
        <v>1096357799.7</v>
      </c>
      <c r="G99" s="108">
        <v>1158189369.8710904</v>
      </c>
      <c r="H99" s="108">
        <v>1185998000</v>
      </c>
      <c r="I99" s="108">
        <v>-27808600</v>
      </c>
      <c r="J99" s="108">
        <v>1158189400</v>
      </c>
    </row>
    <row r="100" spans="3:10">
      <c r="C100" s="100" t="s">
        <v>224</v>
      </c>
      <c r="D100" s="108">
        <v>86838136.09129405</v>
      </c>
      <c r="E100" s="100">
        <v>0</v>
      </c>
      <c r="F100" s="108">
        <v>1106417348.9999998</v>
      </c>
      <c r="G100" s="108">
        <v>1193255485.0912938</v>
      </c>
      <c r="H100" s="108">
        <v>1158189000</v>
      </c>
      <c r="I100" s="108">
        <v>35066500</v>
      </c>
      <c r="J100" s="108">
        <v>1193255500</v>
      </c>
    </row>
    <row r="101" spans="3:10">
      <c r="C101" s="100" t="s">
        <v>226</v>
      </c>
      <c r="D101" s="108">
        <v>84014618.309578866</v>
      </c>
      <c r="E101" s="100">
        <v>0</v>
      </c>
      <c r="F101" s="108">
        <v>1093690701.9000008</v>
      </c>
      <c r="G101" s="108">
        <v>1177705320.2095797</v>
      </c>
      <c r="H101" s="108">
        <v>1193256000</v>
      </c>
      <c r="I101" s="108">
        <v>-15550700</v>
      </c>
      <c r="J101" s="108">
        <v>1177705300</v>
      </c>
    </row>
    <row r="102" spans="3:10">
      <c r="C102" s="100" t="s">
        <v>230</v>
      </c>
      <c r="D102" s="108">
        <v>85571037.808511838</v>
      </c>
      <c r="E102" s="100">
        <v>0</v>
      </c>
      <c r="F102" s="108">
        <v>1097008078.5000005</v>
      </c>
      <c r="G102" s="108">
        <v>1182579116.3085122</v>
      </c>
      <c r="H102" s="108">
        <v>1177705000</v>
      </c>
      <c r="I102" s="108">
        <v>4874100</v>
      </c>
      <c r="J102" s="108">
        <v>1182579100</v>
      </c>
    </row>
    <row r="103" spans="3:10">
      <c r="C103" s="100" t="s">
        <v>231</v>
      </c>
      <c r="D103" s="108">
        <v>77071845.348754644</v>
      </c>
      <c r="E103" s="100">
        <v>0</v>
      </c>
      <c r="F103" s="108">
        <v>1042024652.9999995</v>
      </c>
      <c r="G103" s="108">
        <v>1119096498.3487501</v>
      </c>
      <c r="H103" s="108">
        <v>1182579000</v>
      </c>
      <c r="I103" s="108">
        <v>-63482500</v>
      </c>
      <c r="J103" s="108">
        <v>1119096500</v>
      </c>
    </row>
    <row r="104" spans="3:10">
      <c r="C104" s="100" t="s">
        <v>322</v>
      </c>
      <c r="D104" s="108">
        <v>85527230.802210227</v>
      </c>
      <c r="E104" s="100">
        <v>0</v>
      </c>
      <c r="F104" s="108">
        <v>1068378994.8000002</v>
      </c>
      <c r="G104" s="108">
        <v>1153906225.6022105</v>
      </c>
      <c r="H104" s="108">
        <v>1119097000</v>
      </c>
      <c r="I104" s="108">
        <v>34809200</v>
      </c>
      <c r="J104" s="108">
        <v>1153906200</v>
      </c>
    </row>
    <row r="105" spans="3:10">
      <c r="C105" s="100" t="s">
        <v>323</v>
      </c>
      <c r="D105" s="108">
        <v>137261987.8880094</v>
      </c>
      <c r="E105" s="100">
        <v>0</v>
      </c>
      <c r="F105" s="108">
        <v>1091976367.5000005</v>
      </c>
      <c r="G105" s="108">
        <v>1229238355.3880098</v>
      </c>
      <c r="H105" s="108">
        <v>75332400</v>
      </c>
      <c r="I105" s="108">
        <v>75332400</v>
      </c>
      <c r="J105" s="108">
        <v>1229238400</v>
      </c>
    </row>
    <row r="115" spans="3:4" ht="13.5" customHeight="1"/>
    <row r="117" spans="3:4">
      <c r="C117" s="9" t="s">
        <v>145</v>
      </c>
    </row>
    <row r="118" spans="3:4">
      <c r="C118" s="103" t="s">
        <v>145</v>
      </c>
      <c r="D118" s="100" t="s">
        <v>189</v>
      </c>
    </row>
    <row r="120" spans="3:4">
      <c r="C120" s="103" t="s">
        <v>144</v>
      </c>
      <c r="D120" s="100" t="s">
        <v>147</v>
      </c>
    </row>
    <row r="121" spans="3:4">
      <c r="C121" s="100" t="s">
        <v>222</v>
      </c>
      <c r="D121" s="112">
        <v>226734437</v>
      </c>
    </row>
    <row r="122" spans="3:4">
      <c r="C122" s="100" t="s">
        <v>224</v>
      </c>
      <c r="D122" s="112">
        <v>172548411</v>
      </c>
    </row>
    <row r="123" spans="3:4">
      <c r="C123" s="100" t="s">
        <v>226</v>
      </c>
      <c r="D123" s="112">
        <v>281386638</v>
      </c>
    </row>
    <row r="124" spans="3:4">
      <c r="C124" s="100" t="s">
        <v>230</v>
      </c>
      <c r="D124" s="112">
        <v>219874012</v>
      </c>
    </row>
    <row r="125" spans="3:4">
      <c r="C125" s="100" t="s">
        <v>231</v>
      </c>
      <c r="D125" s="112">
        <v>297209276</v>
      </c>
    </row>
    <row r="126" spans="3:4">
      <c r="C126" s="100" t="s">
        <v>322</v>
      </c>
      <c r="D126" s="112">
        <v>160786555</v>
      </c>
    </row>
    <row r="127" spans="3:4">
      <c r="C127" s="100" t="s">
        <v>323</v>
      </c>
      <c r="D127" s="112">
        <v>297209276</v>
      </c>
    </row>
    <row r="149" spans="2:6">
      <c r="C149" s="113">
        <f>+C152+D152+E152</f>
        <v>10636156160</v>
      </c>
      <c r="F149" s="113"/>
    </row>
    <row r="150" spans="2:6">
      <c r="F150" s="113"/>
    </row>
    <row r="151" spans="2:6" ht="18">
      <c r="B151" t="s">
        <v>144</v>
      </c>
      <c r="C151" s="118" t="s">
        <v>148</v>
      </c>
      <c r="D151" s="118" t="s">
        <v>150</v>
      </c>
      <c r="E151" s="118" t="s">
        <v>149</v>
      </c>
      <c r="F151" s="118" t="s">
        <v>190</v>
      </c>
    </row>
    <row r="152" spans="2:6">
      <c r="B152" t="str">
        <f>'PRESENT 2'!$O$4</f>
        <v>JUNIO 2025</v>
      </c>
      <c r="C152" s="113">
        <f>VLOOKUP(B152,C81:Q91,13,0)</f>
        <v>8686694811</v>
      </c>
      <c r="D152" s="113">
        <f>VLOOKUP(B152,C82:Q88,10,0)</f>
        <v>1467717280</v>
      </c>
      <c r="E152" s="113">
        <f>VLOOKUP(B152,C81:Q88,14,0)</f>
        <v>481744069</v>
      </c>
      <c r="F152" s="113">
        <f>VLOOKUP(B152,C81:Q88,12,0)</f>
        <v>10850646013</v>
      </c>
    </row>
    <row r="153" spans="2:6">
      <c r="C153" s="221">
        <f>+C152/$C$149</f>
        <v>0.81671373382693924</v>
      </c>
      <c r="D153" s="221">
        <f>+D152/$C$149</f>
        <v>0.1379932052445533</v>
      </c>
      <c r="E153" s="221">
        <f>+E152/$C$149</f>
        <v>4.5293060928507468E-2</v>
      </c>
      <c r="F153" s="55">
        <f>+F152/$F$152</f>
        <v>1</v>
      </c>
    </row>
    <row r="154" spans="2:6">
      <c r="D154" s="113"/>
    </row>
    <row r="162" spans="3:4">
      <c r="C162" s="103" t="s">
        <v>154</v>
      </c>
      <c r="D162" s="100" t="s">
        <v>189</v>
      </c>
    </row>
    <row r="164" spans="3:4">
      <c r="C164" s="103" t="s">
        <v>144</v>
      </c>
      <c r="D164" s="100" t="s">
        <v>155</v>
      </c>
    </row>
    <row r="165" spans="3:4">
      <c r="C165" s="100" t="s">
        <v>222</v>
      </c>
      <c r="D165" s="100">
        <v>1437679025</v>
      </c>
    </row>
    <row r="166" spans="3:4">
      <c r="C166" s="100" t="s">
        <v>224</v>
      </c>
      <c r="D166" s="100">
        <v>1525494146</v>
      </c>
    </row>
    <row r="167" spans="3:4">
      <c r="C167" s="100" t="s">
        <v>226</v>
      </c>
      <c r="D167" s="100">
        <v>1499516292</v>
      </c>
    </row>
    <row r="168" spans="3:4">
      <c r="C168" s="100" t="s">
        <v>230</v>
      </c>
      <c r="D168" s="100">
        <v>1467717280</v>
      </c>
    </row>
    <row r="169" spans="3:4">
      <c r="C169" s="100" t="s">
        <v>231</v>
      </c>
      <c r="D169" s="100">
        <v>1400699685</v>
      </c>
    </row>
    <row r="170" spans="3:4">
      <c r="C170" s="100" t="s">
        <v>322</v>
      </c>
      <c r="D170" s="100">
        <v>1450984915</v>
      </c>
    </row>
    <row r="171" spans="3:4">
      <c r="C171" s="100" t="s">
        <v>323</v>
      </c>
      <c r="D171" s="100">
        <v>1412815123</v>
      </c>
    </row>
    <row r="178" spans="3:6" ht="28.8">
      <c r="C178" s="78" t="s">
        <v>57</v>
      </c>
      <c r="D178" s="78" t="s">
        <v>160</v>
      </c>
      <c r="E178" s="78" t="s">
        <v>161</v>
      </c>
    </row>
    <row r="179" spans="3:6">
      <c r="C179" s="140" t="s">
        <v>115</v>
      </c>
      <c r="D179" s="141">
        <f>VLOOKUP(C179,$A$28:D62,2,0)</f>
        <v>345646332</v>
      </c>
      <c r="E179" s="141">
        <f>VLOOKUP(C179,$A$28:D62,4,0)</f>
        <v>311081698.80000001</v>
      </c>
    </row>
    <row r="180" spans="3:6">
      <c r="C180" s="140" t="s">
        <v>108</v>
      </c>
      <c r="D180" s="141">
        <f>VLOOKUP(C180,$A$28:D63,2,0)</f>
        <v>216308538</v>
      </c>
      <c r="E180" s="141">
        <f>VLOOKUP(C180,$A$28:D63,4,0)</f>
        <v>194677684.20000002</v>
      </c>
    </row>
    <row r="181" spans="3:6">
      <c r="C181" s="140" t="s">
        <v>111</v>
      </c>
      <c r="D181" s="141">
        <f>VLOOKUP(C181,$A$28:D64,2,0)</f>
        <v>121341879</v>
      </c>
      <c r="E181" s="141">
        <f>VLOOKUP(C181,$A$28:D64,4,0)</f>
        <v>109207691.10000001</v>
      </c>
    </row>
    <row r="182" spans="3:6">
      <c r="C182" s="140" t="s">
        <v>109</v>
      </c>
      <c r="D182" s="141">
        <f>VLOOKUP(C182,$A$28:D65,2,0)</f>
        <v>143469868</v>
      </c>
      <c r="E182" s="141">
        <f>VLOOKUP(C182,$A$28:D65,4,0)</f>
        <v>129122881.2</v>
      </c>
    </row>
    <row r="183" spans="3:6">
      <c r="C183" s="140" t="s">
        <v>101</v>
      </c>
      <c r="D183" s="141">
        <f>VLOOKUP(C183,$A$28:D66,2,0)</f>
        <v>50850241</v>
      </c>
      <c r="E183" s="141">
        <f>VLOOKUP(C183,$A$28:D66,4,0)</f>
        <v>45765216.899999999</v>
      </c>
    </row>
    <row r="184" spans="3:6">
      <c r="C184" s="140" t="s">
        <v>110</v>
      </c>
      <c r="D184" s="141">
        <f>VLOOKUP(C184,$A$28:D67,2,0)</f>
        <v>19582331</v>
      </c>
      <c r="E184" s="141">
        <f>VLOOKUP(C184,$A$28:D67,4,0)</f>
        <v>17624097.900000002</v>
      </c>
    </row>
    <row r="185" spans="3:6">
      <c r="C185" s="140" t="s">
        <v>103</v>
      </c>
      <c r="D185" s="141">
        <f>VLOOKUP(C185,$A$28:D68,2,0)</f>
        <v>17814953</v>
      </c>
      <c r="E185" s="141">
        <f>VLOOKUP(C185,$A$28:D68,4,0)</f>
        <v>16033457.700000001</v>
      </c>
    </row>
    <row r="186" spans="3:6">
      <c r="C186" s="140" t="s">
        <v>82</v>
      </c>
      <c r="D186" s="141">
        <f>VLOOKUP(C186,$A$28:D69,2,0)</f>
        <v>8131800</v>
      </c>
      <c r="E186" s="141">
        <f>VLOOKUP(C186,$A$28:D69,4,0)</f>
        <v>7318620</v>
      </c>
    </row>
    <row r="187" spans="3:6">
      <c r="C187" s="140" t="s">
        <v>32</v>
      </c>
      <c r="D187" s="141">
        <f>SUM(D179:D186)</f>
        <v>923145942</v>
      </c>
      <c r="E187" s="141">
        <f>SUM(E179:E186)</f>
        <v>830831347.80000007</v>
      </c>
      <c r="F187" s="55">
        <f>D187/PROVISION!J23</f>
        <v>0.65340887634312217</v>
      </c>
    </row>
    <row r="193" spans="3:5">
      <c r="C193" s="138" t="s">
        <v>171</v>
      </c>
      <c r="D193" s="138" t="s">
        <v>172</v>
      </c>
    </row>
    <row r="194" spans="3:5">
      <c r="C194" s="139" t="s">
        <v>141</v>
      </c>
      <c r="D194" t="s">
        <v>138</v>
      </c>
      <c r="E194" t="s">
        <v>215</v>
      </c>
    </row>
    <row r="195" spans="3:5">
      <c r="C195" s="198" t="s">
        <v>8</v>
      </c>
      <c r="D195" s="141">
        <v>209115251</v>
      </c>
      <c r="E195" s="141">
        <v>293135847</v>
      </c>
    </row>
    <row r="196" spans="3:5">
      <c r="C196" s="198" t="s">
        <v>164</v>
      </c>
      <c r="D196" s="141">
        <v>224465967</v>
      </c>
      <c r="E196" s="141">
        <v>199258218</v>
      </c>
    </row>
    <row r="197" spans="3:5">
      <c r="C197" s="198" t="s">
        <v>165</v>
      </c>
      <c r="D197" s="141">
        <v>132441051</v>
      </c>
      <c r="E197" s="141">
        <v>226734437</v>
      </c>
    </row>
    <row r="198" spans="3:5">
      <c r="C198" s="198" t="s">
        <v>166</v>
      </c>
      <c r="D198" s="141">
        <v>180618914</v>
      </c>
      <c r="E198" s="141">
        <v>172548411</v>
      </c>
    </row>
    <row r="199" spans="3:5">
      <c r="C199" s="198" t="s">
        <v>167</v>
      </c>
      <c r="D199" s="141">
        <v>155720180</v>
      </c>
      <c r="E199" s="141">
        <v>281386638</v>
      </c>
    </row>
    <row r="200" spans="3:5">
      <c r="C200" s="198" t="s">
        <v>168</v>
      </c>
      <c r="D200" s="141">
        <v>183485112</v>
      </c>
      <c r="E200" s="141">
        <v>219874012</v>
      </c>
    </row>
    <row r="201" spans="3:5">
      <c r="C201" s="198" t="s">
        <v>169</v>
      </c>
      <c r="D201" s="141">
        <v>120355167</v>
      </c>
      <c r="E201" s="141">
        <v>297209276</v>
      </c>
    </row>
    <row r="202" spans="3:5">
      <c r="C202" s="198" t="s">
        <v>170</v>
      </c>
      <c r="D202" s="141">
        <v>171035337</v>
      </c>
      <c r="E202" s="141">
        <v>160786555</v>
      </c>
    </row>
    <row r="203" spans="3:5">
      <c r="C203" s="198" t="s">
        <v>193</v>
      </c>
      <c r="D203" s="141">
        <v>160077011</v>
      </c>
      <c r="E203" s="141">
        <v>295802141</v>
      </c>
    </row>
    <row r="204" spans="3:5">
      <c r="C204" s="198" t="s">
        <v>196</v>
      </c>
      <c r="D204" s="141">
        <v>176112958</v>
      </c>
      <c r="E204" s="141"/>
    </row>
    <row r="205" spans="3:5">
      <c r="C205" s="198" t="s">
        <v>197</v>
      </c>
      <c r="D205" s="141">
        <v>252645629</v>
      </c>
      <c r="E205" s="141"/>
    </row>
    <row r="206" spans="3:5">
      <c r="C206" s="198" t="s">
        <v>198</v>
      </c>
      <c r="D206" s="141">
        <v>176319295</v>
      </c>
      <c r="E206" s="141"/>
    </row>
    <row r="211" spans="3:9">
      <c r="C211" s="317" t="s">
        <v>75</v>
      </c>
      <c r="D211" s="318" t="s">
        <v>177</v>
      </c>
      <c r="E211" s="318" t="s">
        <v>213</v>
      </c>
      <c r="F211" s="318" t="s">
        <v>178</v>
      </c>
      <c r="G211" s="319" t="s">
        <v>176</v>
      </c>
      <c r="H211" s="319" t="s">
        <v>214</v>
      </c>
      <c r="I211" s="320" t="s">
        <v>179</v>
      </c>
    </row>
    <row r="212" spans="3:9" ht="18">
      <c r="C212" s="315" t="s">
        <v>55</v>
      </c>
      <c r="D212" s="154">
        <v>1408205062</v>
      </c>
      <c r="E212" s="154">
        <v>1344457169</v>
      </c>
      <c r="F212" s="155">
        <f t="shared" ref="F212:F217" si="3">IFERROR((E212-D212)/D212,0)</f>
        <v>-4.5268899196727927E-2</v>
      </c>
      <c r="G212" s="154">
        <v>21511678</v>
      </c>
      <c r="H212" s="154">
        <v>4105100</v>
      </c>
      <c r="I212" s="316">
        <f t="shared" ref="I212:I217" si="4">IFERROR((H212-G212)/G212,0)</f>
        <v>-0.80916876870321319</v>
      </c>
    </row>
    <row r="213" spans="3:9" ht="18">
      <c r="C213" s="315" t="s">
        <v>81</v>
      </c>
      <c r="D213" s="154">
        <v>1378619137</v>
      </c>
      <c r="E213" s="154">
        <v>1464528214</v>
      </c>
      <c r="F213" s="155">
        <f t="shared" si="3"/>
        <v>6.231530862609809E-2</v>
      </c>
      <c r="G213" s="154">
        <v>104296625</v>
      </c>
      <c r="H213" s="154">
        <v>114509272</v>
      </c>
      <c r="I213" s="316">
        <f t="shared" si="4"/>
        <v>9.7919247147259081E-2</v>
      </c>
    </row>
    <row r="214" spans="3:9" ht="18">
      <c r="C214" s="315" t="s">
        <v>90</v>
      </c>
      <c r="D214" s="154">
        <v>1287184695</v>
      </c>
      <c r="E214" s="154">
        <v>1437679025</v>
      </c>
      <c r="F214" s="155">
        <f t="shared" si="3"/>
        <v>0.1169174327387415</v>
      </c>
      <c r="G214" s="154">
        <v>227881394</v>
      </c>
      <c r="H214" s="154">
        <v>286270373</v>
      </c>
      <c r="I214" s="316">
        <f t="shared" si="4"/>
        <v>0.25622530200951815</v>
      </c>
    </row>
    <row r="215" spans="3:9" ht="18">
      <c r="C215" s="315" t="s">
        <v>119</v>
      </c>
      <c r="D215" s="154">
        <v>1281480170</v>
      </c>
      <c r="E215" s="154">
        <v>1525494146</v>
      </c>
      <c r="F215" s="155">
        <f t="shared" si="3"/>
        <v>0.19041572527805872</v>
      </c>
      <c r="G215" s="154">
        <v>352581133</v>
      </c>
      <c r="H215" s="154">
        <v>412460685</v>
      </c>
      <c r="I215" s="316">
        <f t="shared" si="4"/>
        <v>0.16983198020411375</v>
      </c>
    </row>
    <row r="216" spans="3:9" ht="18">
      <c r="C216" s="315" t="s">
        <v>130</v>
      </c>
      <c r="D216" s="154">
        <v>1337100352</v>
      </c>
      <c r="E216" s="154">
        <v>1499516292</v>
      </c>
      <c r="F216" s="155">
        <f t="shared" si="3"/>
        <v>0.12146877364669185</v>
      </c>
      <c r="G216" s="154">
        <v>486390125</v>
      </c>
      <c r="H216" s="154">
        <v>647124927</v>
      </c>
      <c r="I216" s="316">
        <f t="shared" si="4"/>
        <v>0.33046477249101225</v>
      </c>
    </row>
    <row r="217" spans="3:9" ht="18">
      <c r="C217" s="315" t="s">
        <v>133</v>
      </c>
      <c r="D217" s="154">
        <v>1231303460</v>
      </c>
      <c r="E217" s="154">
        <v>1467717280</v>
      </c>
      <c r="F217" s="155">
        <f t="shared" si="3"/>
        <v>0.19200288773654547</v>
      </c>
      <c r="G217" s="154">
        <v>673128886</v>
      </c>
      <c r="H217" s="154">
        <v>897859441</v>
      </c>
      <c r="I217" s="316">
        <f t="shared" si="4"/>
        <v>0.33385962135043479</v>
      </c>
    </row>
    <row r="218" spans="3:9" ht="18">
      <c r="C218" s="315" t="s">
        <v>135</v>
      </c>
      <c r="D218" s="154">
        <v>1315298308</v>
      </c>
      <c r="E218" s="154">
        <v>1400699685</v>
      </c>
      <c r="F218" s="155">
        <f t="shared" ref="F218:F223" si="5">IFERROR((E218-D218)/D218,0)</f>
        <v>6.4929283707403654E-2</v>
      </c>
      <c r="G218" s="154">
        <v>780325157</v>
      </c>
      <c r="H218" s="154">
        <v>1189146026</v>
      </c>
      <c r="I218" s="316">
        <f t="shared" ref="I218:I223" si="6">IFERROR((H218-G218)/G218,0)</f>
        <v>0.52391091756125452</v>
      </c>
    </row>
    <row r="219" spans="3:9" ht="18">
      <c r="C219" s="315" t="s">
        <v>140</v>
      </c>
      <c r="D219" s="154">
        <v>1231303460</v>
      </c>
      <c r="E219" s="154">
        <v>1450984915</v>
      </c>
      <c r="F219" s="155">
        <v>0.1784137396966301</v>
      </c>
      <c r="G219" s="154">
        <v>924198960</v>
      </c>
      <c r="H219" s="154">
        <v>1312014255</v>
      </c>
      <c r="I219" s="316">
        <f t="shared" si="6"/>
        <v>0.41962316750497103</v>
      </c>
    </row>
    <row r="220" spans="3:9" ht="18">
      <c r="C220" s="315" t="s">
        <v>180</v>
      </c>
      <c r="D220" s="154">
        <v>1441637977</v>
      </c>
      <c r="E220" s="154">
        <f>+L88</f>
        <v>1412815123</v>
      </c>
      <c r="F220" s="155">
        <f t="shared" si="5"/>
        <v>-1.9993128968466403E-2</v>
      </c>
      <c r="G220" s="154">
        <v>1059549230</v>
      </c>
      <c r="H220" s="154">
        <f>+PROVISION!C13</f>
        <v>1799118835</v>
      </c>
      <c r="I220" s="316">
        <f t="shared" si="6"/>
        <v>0.69800400402348461</v>
      </c>
    </row>
    <row r="221" spans="3:9" ht="18">
      <c r="C221" s="315" t="s">
        <v>181</v>
      </c>
      <c r="D221" s="154">
        <v>1494454722</v>
      </c>
      <c r="E221" s="154">
        <f>+L87</f>
        <v>1450984915</v>
      </c>
      <c r="F221" s="155">
        <f t="shared" si="5"/>
        <v>-2.9087403157872321E-2</v>
      </c>
      <c r="G221" s="154">
        <v>1171835591</v>
      </c>
      <c r="H221" s="154">
        <f>+PROVISION!C13</f>
        <v>1799118835</v>
      </c>
      <c r="I221" s="316">
        <f t="shared" si="6"/>
        <v>0.53529970314752118</v>
      </c>
    </row>
    <row r="222" spans="3:9" ht="18">
      <c r="C222" s="315" t="s">
        <v>182</v>
      </c>
      <c r="D222" s="154">
        <v>1532827560</v>
      </c>
      <c r="E222" s="154">
        <f>+L87</f>
        <v>1450984915</v>
      </c>
      <c r="F222" s="155">
        <f t="shared" si="5"/>
        <v>-5.3393249923037657E-2</v>
      </c>
      <c r="G222" s="154">
        <v>1398583869</v>
      </c>
      <c r="H222" s="154">
        <f>+PROVISION!C13</f>
        <v>1799118835</v>
      </c>
      <c r="I222" s="316">
        <f t="shared" si="6"/>
        <v>0.2863860901573147</v>
      </c>
    </row>
    <row r="223" spans="3:9" ht="18">
      <c r="C223" s="321" t="s">
        <v>183</v>
      </c>
      <c r="D223" s="322">
        <v>1396470738</v>
      </c>
      <c r="E223" s="322">
        <f>+L87</f>
        <v>1450984915</v>
      </c>
      <c r="F223" s="323">
        <f t="shared" si="5"/>
        <v>3.9037106554824209E-2</v>
      </c>
      <c r="G223" s="322">
        <v>1550967986</v>
      </c>
      <c r="H223" s="322">
        <f>+PROVISION!C13</f>
        <v>1799118835</v>
      </c>
      <c r="I223" s="324">
        <f t="shared" si="6"/>
        <v>0.15999740242220575</v>
      </c>
    </row>
    <row r="225" spans="3:7">
      <c r="C225" s="157" t="s">
        <v>75</v>
      </c>
      <c r="D225" s="148" t="s">
        <v>352</v>
      </c>
      <c r="E225" s="158" t="s">
        <v>138</v>
      </c>
      <c r="F225" s="158" t="s">
        <v>215</v>
      </c>
      <c r="G225" s="325" t="s">
        <v>78</v>
      </c>
    </row>
    <row r="226" spans="3:7" ht="18">
      <c r="C226" s="313" t="str">
        <f>+C220</f>
        <v>Septiembre</v>
      </c>
      <c r="D226" s="159" t="s">
        <v>79</v>
      </c>
      <c r="E226" s="156">
        <f>+VLOOKUP(C226,C211:I223,2,0)</f>
        <v>1441637977</v>
      </c>
      <c r="F226" s="156">
        <f>+VLOOKUP(C226,C211:I223,3,0)</f>
        <v>1412815123</v>
      </c>
      <c r="G226" s="326">
        <f>+VLOOKUP(C226,C211:I223,4,0)</f>
        <v>-1.9993128968466403E-2</v>
      </c>
    </row>
    <row r="227" spans="3:7" ht="18">
      <c r="C227" s="314"/>
      <c r="D227" s="159" t="s">
        <v>80</v>
      </c>
      <c r="E227" s="156">
        <f>+VLOOKUP(C226,C211:I223,5,0)</f>
        <v>1059549230</v>
      </c>
      <c r="F227" s="156">
        <f>+VLOOKUP(C226,C211:I223,6,0)</f>
        <v>1799118835</v>
      </c>
      <c r="G227" s="327">
        <f>+VLOOKUP(C226,C211:I223,7,0)</f>
        <v>0.69800400402348461</v>
      </c>
    </row>
  </sheetData>
  <sortState xmlns:xlrd2="http://schemas.microsoft.com/office/spreadsheetml/2017/richdata2" ref="A27:M57">
    <sortCondition ref="F27:F57"/>
  </sortState>
  <mergeCells count="9">
    <mergeCell ref="A26:D26"/>
    <mergeCell ref="H19:I19"/>
    <mergeCell ref="A1:I1"/>
    <mergeCell ref="A2:D2"/>
    <mergeCell ref="A4:D4"/>
    <mergeCell ref="H4:H5"/>
    <mergeCell ref="I4:I5"/>
    <mergeCell ref="A12:C12"/>
    <mergeCell ref="A14:D14"/>
  </mergeCells>
  <conditionalFormatting sqref="A29:A59">
    <cfRule type="duplicateValues" dxfId="19" priority="29"/>
  </conditionalFormatting>
  <conditionalFormatting sqref="A60:A61">
    <cfRule type="duplicateValues" dxfId="18" priority="30"/>
  </conditionalFormatting>
  <conditionalFormatting sqref="C179:C187">
    <cfRule type="duplicateValues" dxfId="17" priority="2"/>
  </conditionalFormatting>
  <conditionalFormatting sqref="C195:C205">
    <cfRule type="duplicateValues" dxfId="16" priority="3"/>
  </conditionalFormatting>
  <conditionalFormatting sqref="I37:I42">
    <cfRule type="duplicateValues" dxfId="15" priority="11"/>
  </conditionalFormatting>
  <conditionalFormatting sqref="I43:I44">
    <cfRule type="duplicateValues" dxfId="14" priority="12"/>
  </conditionalFormatting>
  <conditionalFormatting sqref="I45">
    <cfRule type="duplicateValues" dxfId="13" priority="5"/>
  </conditionalFormatting>
  <conditionalFormatting sqref="I46">
    <cfRule type="duplicateValues" dxfId="12" priority="10"/>
  </conditionalFormatting>
  <conditionalFormatting sqref="I47">
    <cfRule type="duplicateValues" dxfId="11" priority="9"/>
  </conditionalFormatting>
  <conditionalFormatting sqref="I48:I49">
    <cfRule type="duplicateValues" dxfId="10" priority="6"/>
  </conditionalFormatting>
  <pageMargins left="0.7" right="0.7" top="0.75" bottom="0.75" header="0.3" footer="0.3"/>
  <pageSetup orientation="portrait" r:id="rId5"/>
  <ignoredErrors>
    <ignoredError sqref="E226:F226" calculatedColumn="1"/>
  </ignoredErrors>
  <drawing r:id="rId6"/>
  <legacyDrawing r:id="rId7"/>
  <tableParts count="3">
    <tablePart r:id="rId8"/>
    <tablePart r:id="rId9"/>
    <tablePart r:id="rId10"/>
  </tableParts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tabColor rgb="FF6B5AE8"/>
    <pageSetUpPr fitToPage="1"/>
  </sheetPr>
  <dimension ref="B2:Q81"/>
  <sheetViews>
    <sheetView showGridLines="0" showRowColHeaders="0" zoomScale="80" zoomScaleNormal="80" workbookViewId="0">
      <pane ySplit="6" topLeftCell="A7" activePane="bottomLeft" state="frozen"/>
      <selection activeCell="F76" activeCellId="1" sqref="B43 F76"/>
      <selection pane="bottomLeft" activeCell="I44" sqref="I44"/>
    </sheetView>
  </sheetViews>
  <sheetFormatPr baseColWidth="10" defaultRowHeight="14.4"/>
  <cols>
    <col min="1" max="1" width="2.5546875" style="104" customWidth="1"/>
    <col min="2" max="3" width="10.77734375" style="104"/>
    <col min="4" max="4" width="13.77734375" style="104" bestFit="1" customWidth="1"/>
    <col min="5" max="5" width="10.21875" style="104" customWidth="1"/>
    <col min="6" max="6" width="19.5546875" style="104" customWidth="1"/>
    <col min="7" max="7" width="18.5546875" style="104" customWidth="1"/>
    <col min="8" max="12" width="26.44140625" style="105" customWidth="1"/>
    <col min="13" max="13" width="31.5546875" style="105" customWidth="1"/>
    <col min="14" max="14" width="6.21875" style="105" customWidth="1"/>
    <col min="15" max="15" width="26" style="105" customWidth="1"/>
    <col min="16" max="16" width="7.21875" style="105" customWidth="1"/>
    <col min="17" max="17" width="5.77734375" style="104" customWidth="1"/>
    <col min="18" max="16375" width="10.77734375" style="104"/>
    <col min="16376" max="16376" width="10.77734375" style="104" customWidth="1"/>
    <col min="16377" max="16384" width="10.77734375" style="104"/>
  </cols>
  <sheetData>
    <row r="2" spans="2:16">
      <c r="O2" s="130"/>
      <c r="P2" s="130"/>
    </row>
    <row r="3" spans="2:16">
      <c r="O3" s="131" t="s">
        <v>144</v>
      </c>
      <c r="P3" s="131"/>
    </row>
    <row r="4" spans="2:16">
      <c r="O4" s="131" t="s">
        <v>230</v>
      </c>
      <c r="P4" s="131"/>
    </row>
    <row r="5" spans="2:16">
      <c r="O5" s="130"/>
      <c r="P5" s="130"/>
    </row>
    <row r="6" spans="2:16">
      <c r="O6" s="130"/>
      <c r="P6" s="130"/>
    </row>
    <row r="8" spans="2:16">
      <c r="B8" s="86"/>
      <c r="C8" s="86"/>
      <c r="D8" s="86"/>
      <c r="E8" s="86"/>
    </row>
    <row r="9" spans="2:16">
      <c r="B9" s="86"/>
      <c r="C9" s="86"/>
      <c r="D9" s="86"/>
      <c r="E9" s="86"/>
    </row>
    <row r="10" spans="2:16">
      <c r="B10" s="86"/>
      <c r="C10" s="86"/>
      <c r="D10" s="86"/>
      <c r="E10" s="86"/>
    </row>
    <row r="11" spans="2:16">
      <c r="B11" s="86"/>
      <c r="C11" s="86"/>
      <c r="D11" s="86"/>
      <c r="E11" s="86"/>
    </row>
    <row r="12" spans="2:16">
      <c r="B12" s="86"/>
      <c r="C12" s="86"/>
      <c r="D12" s="168">
        <f>+'Nuevo Modelo2'!F152</f>
        <v>10850646013</v>
      </c>
      <c r="E12" s="86"/>
    </row>
    <row r="13" spans="2:16">
      <c r="B13" s="86"/>
      <c r="C13" s="86"/>
      <c r="D13" s="167"/>
      <c r="E13" s="86"/>
    </row>
    <row r="14" spans="2:16">
      <c r="B14" s="86"/>
      <c r="C14" s="86"/>
      <c r="D14" s="167"/>
      <c r="E14" s="86"/>
    </row>
    <row r="15" spans="2:16">
      <c r="B15" s="86"/>
      <c r="C15" s="86"/>
      <c r="D15" s="166">
        <f>+'Nuevo Modelo2'!C152</f>
        <v>8686694811</v>
      </c>
      <c r="E15" s="86"/>
    </row>
    <row r="16" spans="2:16">
      <c r="B16" s="86"/>
      <c r="C16" s="86"/>
      <c r="D16" s="167"/>
      <c r="E16" s="86"/>
    </row>
    <row r="17" spans="2:17">
      <c r="B17" s="86"/>
      <c r="C17" s="86"/>
      <c r="D17" s="169">
        <f>+'Nuevo Modelo2'!E152</f>
        <v>481744069</v>
      </c>
      <c r="E17" s="86"/>
    </row>
    <row r="18" spans="2:17">
      <c r="B18" s="86"/>
      <c r="C18" s="86"/>
      <c r="D18" s="167"/>
      <c r="E18" s="86"/>
    </row>
    <row r="19" spans="2:17">
      <c r="B19" s="86"/>
      <c r="C19" s="86"/>
      <c r="D19" s="167"/>
      <c r="E19" s="86"/>
    </row>
    <row r="20" spans="2:17">
      <c r="B20" s="86"/>
      <c r="C20" s="86"/>
      <c r="D20" s="167"/>
      <c r="E20" s="86"/>
    </row>
    <row r="21" spans="2:17">
      <c r="B21" s="86"/>
      <c r="C21" s="86"/>
      <c r="D21" s="170">
        <f>+'Nuevo Modelo2'!D152</f>
        <v>1467717280</v>
      </c>
      <c r="E21" s="86"/>
    </row>
    <row r="22" spans="2:17" ht="28.5" customHeight="1">
      <c r="B22" s="86"/>
      <c r="C22" s="86"/>
      <c r="D22" s="86"/>
      <c r="E22" s="86"/>
    </row>
    <row r="23" spans="2:17" ht="14.55" customHeight="1">
      <c r="Q23" s="177"/>
    </row>
    <row r="24" spans="2:17" ht="14.55" customHeight="1"/>
    <row r="25" spans="2:17" ht="14.55" customHeight="1"/>
    <row r="26" spans="2:17" ht="14.55" customHeight="1">
      <c r="Q26" s="177"/>
    </row>
    <row r="27" spans="2:17" ht="14.55" customHeight="1"/>
    <row r="28" spans="2:17" ht="14.55" customHeight="1"/>
    <row r="29" spans="2:17" ht="14.55" customHeight="1"/>
    <row r="30" spans="2:17" ht="14.55" customHeight="1"/>
    <row r="31" spans="2:17" ht="14.55" customHeight="1">
      <c r="Q31" s="177"/>
    </row>
    <row r="32" spans="2:17" ht="14.55" customHeight="1"/>
    <row r="33" spans="5:16" ht="14.55" customHeight="1"/>
    <row r="34" spans="5:16" ht="14.55" customHeight="1"/>
    <row r="35" spans="5:16" ht="14.55" customHeight="1"/>
    <row r="36" spans="5:16" ht="14.55" customHeight="1"/>
    <row r="37" spans="5:16" ht="14.55" customHeight="1"/>
    <row r="38" spans="5:16" ht="14.55" customHeight="1"/>
    <row r="39" spans="5:16" ht="14.55" customHeight="1"/>
    <row r="40" spans="5:16" ht="10.5" customHeight="1"/>
    <row r="41" spans="5:16">
      <c r="E41"/>
      <c r="F41"/>
      <c r="G41"/>
      <c r="H41" s="106"/>
      <c r="I41" s="106"/>
      <c r="J41" s="106"/>
      <c r="K41" s="106"/>
      <c r="L41" s="106"/>
      <c r="M41" s="106"/>
      <c r="N41" s="106"/>
      <c r="O41" s="106"/>
      <c r="P41" s="106"/>
    </row>
    <row r="42" spans="5:16">
      <c r="E42"/>
      <c r="F42"/>
      <c r="G42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5:16">
      <c r="E43"/>
      <c r="F43"/>
      <c r="G43"/>
      <c r="H43" s="106"/>
      <c r="I43" s="106"/>
      <c r="J43" s="106"/>
      <c r="K43" s="106"/>
      <c r="L43" s="106"/>
      <c r="M43" s="106"/>
      <c r="N43" s="106"/>
      <c r="O43" s="106"/>
      <c r="P43" s="106"/>
    </row>
    <row r="44" spans="5:16">
      <c r="E44"/>
      <c r="F44" s="194" t="s">
        <v>144</v>
      </c>
      <c r="G44" s="194" t="s">
        <v>126</v>
      </c>
      <c r="H44" s="194" t="s">
        <v>127</v>
      </c>
      <c r="I44" s="194" t="s">
        <v>128</v>
      </c>
      <c r="J44" s="194" t="s">
        <v>157</v>
      </c>
      <c r="K44" s="194" t="s">
        <v>63</v>
      </c>
      <c r="L44" s="195" t="s">
        <v>162</v>
      </c>
      <c r="M44" s="196" t="s">
        <v>129</v>
      </c>
      <c r="N44" s="106"/>
      <c r="O44" s="106"/>
      <c r="P44" s="106"/>
    </row>
    <row r="45" spans="5:16">
      <c r="E45"/>
      <c r="F45" s="174" t="s">
        <v>222</v>
      </c>
      <c r="G45" s="197">
        <v>61831570.171090469</v>
      </c>
      <c r="H45" s="197">
        <v>0</v>
      </c>
      <c r="I45" s="197">
        <v>1096357799.7</v>
      </c>
      <c r="J45" s="197">
        <v>1158189369.8710904</v>
      </c>
      <c r="K45" s="197">
        <v>1185998000</v>
      </c>
      <c r="L45" s="197">
        <v>-27808600</v>
      </c>
      <c r="M45" s="205">
        <v>1158189400</v>
      </c>
      <c r="N45" s="132"/>
      <c r="O45" s="106"/>
      <c r="P45" s="106"/>
    </row>
    <row r="46" spans="5:16">
      <c r="E46"/>
      <c r="F46" s="174" t="s">
        <v>224</v>
      </c>
      <c r="G46" s="197">
        <v>86838136.09129405</v>
      </c>
      <c r="H46" s="197">
        <v>0</v>
      </c>
      <c r="I46" s="197">
        <v>1106417348.9999998</v>
      </c>
      <c r="J46" s="197">
        <v>1193255485.0912938</v>
      </c>
      <c r="K46" s="197">
        <v>1158189000</v>
      </c>
      <c r="L46" s="197">
        <v>35066500</v>
      </c>
      <c r="M46" s="205">
        <v>1193255500</v>
      </c>
      <c r="N46" s="132"/>
      <c r="O46" s="106"/>
      <c r="P46" s="106"/>
    </row>
    <row r="47" spans="5:16">
      <c r="E47"/>
      <c r="F47" s="174" t="s">
        <v>226</v>
      </c>
      <c r="G47" s="197">
        <v>84014618.309578866</v>
      </c>
      <c r="H47" s="197">
        <v>0</v>
      </c>
      <c r="I47" s="197">
        <v>1093690701.9000008</v>
      </c>
      <c r="J47" s="197">
        <v>1177705320.2095797</v>
      </c>
      <c r="K47" s="197">
        <v>1193256000</v>
      </c>
      <c r="L47" s="197">
        <v>-15550700</v>
      </c>
      <c r="M47" s="205">
        <v>1177705300</v>
      </c>
      <c r="N47" s="132"/>
      <c r="O47" s="106"/>
      <c r="P47" s="106"/>
    </row>
    <row r="48" spans="5:16">
      <c r="E48"/>
      <c r="F48" s="174" t="s">
        <v>230</v>
      </c>
      <c r="G48" s="197">
        <v>85571037.808511838</v>
      </c>
      <c r="H48" s="197">
        <v>0</v>
      </c>
      <c r="I48" s="197">
        <v>1097008078.5000005</v>
      </c>
      <c r="J48" s="197">
        <v>1182579116.3085122</v>
      </c>
      <c r="K48" s="197">
        <v>1177705000</v>
      </c>
      <c r="L48" s="197">
        <v>4874100</v>
      </c>
      <c r="M48" s="205">
        <v>1182579100</v>
      </c>
      <c r="N48" s="132"/>
      <c r="O48" s="354">
        <f>VLOOKUP(O4,'Nuevo Modelo2'!C81:M88,11,0)</f>
        <v>0.80572676776006891</v>
      </c>
      <c r="P48" s="106"/>
    </row>
    <row r="49" spans="5:16">
      <c r="E49"/>
      <c r="F49" s="174" t="s">
        <v>231</v>
      </c>
      <c r="G49" s="197">
        <v>77071845.348754644</v>
      </c>
      <c r="H49" s="197">
        <v>0</v>
      </c>
      <c r="I49" s="197">
        <v>1042024652.9999995</v>
      </c>
      <c r="J49" s="197">
        <v>1119096498.3487501</v>
      </c>
      <c r="K49" s="197">
        <v>1182579000</v>
      </c>
      <c r="L49" s="197">
        <v>-63482500</v>
      </c>
      <c r="M49" s="205">
        <v>1119096500</v>
      </c>
      <c r="N49" s="132"/>
      <c r="O49" s="354"/>
      <c r="P49" s="106"/>
    </row>
    <row r="50" spans="5:16">
      <c r="E50"/>
      <c r="F50" s="174" t="s">
        <v>322</v>
      </c>
      <c r="G50" s="197">
        <v>85527230.802210227</v>
      </c>
      <c r="H50" s="197">
        <v>0</v>
      </c>
      <c r="I50" s="197">
        <v>1068378994.8000002</v>
      </c>
      <c r="J50" s="197">
        <v>1153906225.6022105</v>
      </c>
      <c r="K50" s="197">
        <v>1119097000</v>
      </c>
      <c r="L50" s="197">
        <v>34809200</v>
      </c>
      <c r="M50" s="205">
        <v>1153906200</v>
      </c>
      <c r="N50" s="132"/>
      <c r="O50" s="354"/>
      <c r="P50" s="106"/>
    </row>
    <row r="51" spans="5:16">
      <c r="E51"/>
      <c r="F51" s="204" t="s">
        <v>323</v>
      </c>
      <c r="G51" s="206">
        <v>137261987.8880094</v>
      </c>
      <c r="H51" s="206">
        <v>0</v>
      </c>
      <c r="I51" s="206">
        <v>1091976367.5000005</v>
      </c>
      <c r="J51" s="206">
        <v>1229238355.3880098</v>
      </c>
      <c r="K51" s="206">
        <v>75332400</v>
      </c>
      <c r="L51" s="206">
        <v>75332400</v>
      </c>
      <c r="M51" s="188">
        <v>1229238400</v>
      </c>
      <c r="N51" s="132"/>
      <c r="O51" s="354"/>
      <c r="P51" s="106"/>
    </row>
    <row r="52" spans="5:16">
      <c r="E52"/>
      <c r="F52"/>
      <c r="G52"/>
      <c r="H52"/>
      <c r="I52"/>
      <c r="J52"/>
      <c r="K52"/>
      <c r="L52"/>
      <c r="M52"/>
      <c r="N52" s="132"/>
      <c r="O52" s="106"/>
      <c r="P52" s="106"/>
    </row>
    <row r="53" spans="5:16" ht="14.55" customHeight="1">
      <c r="E53"/>
      <c r="F53"/>
      <c r="G53"/>
      <c r="H53"/>
      <c r="I53"/>
      <c r="J53"/>
      <c r="K53"/>
      <c r="L53"/>
      <c r="M53"/>
      <c r="N53" s="132"/>
      <c r="O53" s="355"/>
      <c r="P53" s="106"/>
    </row>
    <row r="54" spans="5:16">
      <c r="E54"/>
      <c r="F54"/>
      <c r="G54"/>
      <c r="H54"/>
      <c r="I54"/>
      <c r="J54"/>
      <c r="K54"/>
      <c r="L54"/>
      <c r="M54"/>
      <c r="N54" s="132"/>
      <c r="O54" s="355"/>
      <c r="P54" s="106"/>
    </row>
    <row r="55" spans="5:16">
      <c r="E55"/>
      <c r="F55"/>
      <c r="G55"/>
      <c r="H55"/>
      <c r="I55"/>
      <c r="J55"/>
      <c r="K55"/>
      <c r="L55"/>
      <c r="M55" s="55"/>
      <c r="N55" s="132"/>
      <c r="O55" s="355"/>
      <c r="P55" s="106"/>
    </row>
    <row r="56" spans="5:16">
      <c r="E56"/>
      <c r="F56"/>
      <c r="G56"/>
      <c r="H56"/>
      <c r="I56"/>
      <c r="J56"/>
      <c r="K56"/>
      <c r="L56"/>
      <c r="M56"/>
      <c r="N56" s="132"/>
      <c r="O56" s="355"/>
      <c r="P56" s="106"/>
    </row>
    <row r="57" spans="5:16">
      <c r="E57" s="114"/>
      <c r="F57"/>
      <c r="G57"/>
      <c r="H57"/>
      <c r="I57"/>
      <c r="J57"/>
      <c r="K57"/>
      <c r="L57"/>
      <c r="M57"/>
      <c r="N57" s="115"/>
      <c r="O57" s="355"/>
      <c r="P57" s="115"/>
    </row>
    <row r="58" spans="5:16">
      <c r="E58" s="114"/>
      <c r="F58" s="114"/>
      <c r="G58" s="114"/>
      <c r="H58" s="115"/>
      <c r="I58" s="115"/>
      <c r="J58" s="115"/>
      <c r="K58" s="115"/>
      <c r="L58" s="115"/>
      <c r="M58" s="115"/>
      <c r="N58" s="115"/>
      <c r="O58" s="115"/>
      <c r="P58" s="115"/>
    </row>
    <row r="59" spans="5:16" ht="23.1" customHeight="1">
      <c r="E59" s="114"/>
      <c r="F59" s="114"/>
      <c r="G59" s="114" t="s">
        <v>158</v>
      </c>
      <c r="H59" s="115"/>
      <c r="I59" s="116" t="s">
        <v>126</v>
      </c>
      <c r="J59" s="117" t="s">
        <v>127</v>
      </c>
      <c r="K59" s="176" t="s">
        <v>128</v>
      </c>
      <c r="L59" s="115"/>
      <c r="M59" s="115"/>
      <c r="N59" s="115"/>
      <c r="O59" s="115"/>
      <c r="P59" s="115"/>
    </row>
    <row r="60" spans="5:16">
      <c r="E60" s="114"/>
      <c r="F60" s="114"/>
      <c r="G60" s="114"/>
      <c r="H60" s="115"/>
      <c r="I60" s="353" t="s">
        <v>38</v>
      </c>
      <c r="J60" s="353"/>
      <c r="K60" s="353"/>
      <c r="L60" s="115"/>
      <c r="M60" s="115"/>
      <c r="N60" s="115"/>
      <c r="O60" s="115"/>
      <c r="P60" s="115"/>
    </row>
    <row r="61" spans="5:16">
      <c r="E61" s="114"/>
      <c r="F61" s="114"/>
      <c r="G61" s="114"/>
      <c r="H61" s="115"/>
      <c r="I61" s="115"/>
      <c r="J61" s="115"/>
      <c r="K61" s="115"/>
      <c r="L61" s="115"/>
      <c r="M61" s="115"/>
      <c r="N61" s="115"/>
      <c r="O61" s="115"/>
      <c r="P61" s="115"/>
    </row>
    <row r="63" spans="5:16">
      <c r="E63" s="86"/>
      <c r="F63" s="86"/>
      <c r="G63" s="86"/>
      <c r="H63" s="130"/>
      <c r="I63" s="130"/>
      <c r="J63" s="130"/>
      <c r="K63" s="130"/>
      <c r="L63" s="130"/>
      <c r="M63" s="130"/>
      <c r="N63" s="130"/>
      <c r="O63" s="130"/>
      <c r="P63" s="130"/>
    </row>
    <row r="64" spans="5:16">
      <c r="E64" s="86"/>
      <c r="F64" s="86"/>
      <c r="G64" s="86"/>
      <c r="H64" s="130"/>
      <c r="I64" s="130"/>
      <c r="J64" s="130"/>
      <c r="K64" s="130"/>
      <c r="L64" s="130"/>
      <c r="M64" s="130"/>
      <c r="N64" s="130"/>
      <c r="O64" s="130"/>
      <c r="P64" s="130"/>
    </row>
    <row r="65" spans="5:16">
      <c r="E65" s="86"/>
      <c r="F65" s="86"/>
      <c r="G65" s="86"/>
      <c r="H65" s="130"/>
      <c r="I65" s="130"/>
      <c r="J65" s="130"/>
      <c r="K65" s="130"/>
      <c r="L65" s="130"/>
      <c r="M65" s="130"/>
      <c r="N65" s="130"/>
      <c r="O65" s="130"/>
      <c r="P65" s="130"/>
    </row>
    <row r="66" spans="5:16" ht="15.6">
      <c r="E66" s="86"/>
      <c r="F66" s="86"/>
      <c r="G66" s="86"/>
      <c r="H66" s="130"/>
      <c r="I66" s="130"/>
      <c r="J66" s="130"/>
      <c r="K66" s="130"/>
      <c r="L66" s="171" t="s">
        <v>192</v>
      </c>
      <c r="M66" s="171" t="s">
        <v>191</v>
      </c>
      <c r="N66" s="171" t="s">
        <v>152</v>
      </c>
      <c r="O66" s="130"/>
      <c r="P66" s="130"/>
    </row>
    <row r="67" spans="5:16">
      <c r="E67" s="86"/>
      <c r="F67" s="86"/>
      <c r="G67" s="86"/>
      <c r="H67" s="130"/>
      <c r="I67" s="130"/>
      <c r="J67" s="130"/>
      <c r="K67" s="130"/>
      <c r="L67" s="350" t="s">
        <v>173</v>
      </c>
      <c r="M67" s="351">
        <f>+'Nuevo Modelo2'!D187</f>
        <v>923145942</v>
      </c>
      <c r="N67" s="352">
        <f>+M67/PROVISION!$J$23</f>
        <v>0.65340887634312217</v>
      </c>
      <c r="O67" s="130"/>
      <c r="P67" s="130"/>
    </row>
    <row r="68" spans="5:16" ht="14.55" customHeight="1">
      <c r="E68" s="86"/>
      <c r="F68" s="86"/>
      <c r="G68" s="86"/>
      <c r="H68" s="130"/>
      <c r="I68" s="130"/>
      <c r="J68" s="130"/>
      <c r="K68" s="130"/>
      <c r="L68" s="350"/>
      <c r="M68" s="351"/>
      <c r="N68" s="352"/>
      <c r="O68" s="130"/>
      <c r="P68" s="130"/>
    </row>
    <row r="69" spans="5:16" ht="14.55" customHeight="1">
      <c r="E69" s="86"/>
      <c r="F69" s="86"/>
      <c r="G69" s="86"/>
      <c r="H69" s="130"/>
      <c r="I69" s="130"/>
      <c r="J69" s="130"/>
      <c r="K69" s="130"/>
      <c r="L69" s="350"/>
      <c r="M69" s="351"/>
      <c r="N69" s="352"/>
      <c r="O69" s="130"/>
      <c r="P69" s="130"/>
    </row>
    <row r="70" spans="5:16" ht="14.55" customHeight="1">
      <c r="E70" s="86"/>
      <c r="F70" s="86"/>
      <c r="G70" s="86"/>
      <c r="H70" s="130"/>
      <c r="I70" s="130"/>
      <c r="J70" s="130"/>
      <c r="K70" s="130"/>
      <c r="L70" s="350" t="s">
        <v>174</v>
      </c>
      <c r="M70" s="351">
        <f>'Nuevo Modelo2'!E187</f>
        <v>830831347.80000007</v>
      </c>
      <c r="N70" s="352">
        <f>+M70/M67</f>
        <v>0.9</v>
      </c>
      <c r="O70" s="130"/>
      <c r="P70" s="130"/>
    </row>
    <row r="71" spans="5:16" ht="14.55" customHeight="1">
      <c r="E71" s="86"/>
      <c r="F71" s="86"/>
      <c r="G71" s="86"/>
      <c r="H71" s="130"/>
      <c r="I71" s="130"/>
      <c r="J71" s="130"/>
      <c r="K71" s="130"/>
      <c r="L71" s="350"/>
      <c r="M71" s="351"/>
      <c r="N71" s="352"/>
      <c r="O71" s="130"/>
      <c r="P71" s="130"/>
    </row>
    <row r="72" spans="5:16" ht="14.55" customHeight="1">
      <c r="E72" s="86"/>
      <c r="F72" s="86"/>
      <c r="G72" s="86"/>
      <c r="H72" s="130"/>
      <c r="I72" s="130"/>
      <c r="J72" s="130"/>
      <c r="K72" s="130"/>
      <c r="L72" s="350"/>
      <c r="M72" s="351"/>
      <c r="N72" s="352"/>
      <c r="O72" s="130"/>
      <c r="P72" s="130"/>
    </row>
    <row r="73" spans="5:16">
      <c r="E73" s="86"/>
      <c r="F73" s="86"/>
      <c r="G73" s="86"/>
      <c r="H73" s="130"/>
      <c r="I73" s="130"/>
      <c r="J73" s="130"/>
      <c r="K73" s="130"/>
      <c r="L73" s="130"/>
      <c r="M73" s="130"/>
      <c r="N73" s="130"/>
      <c r="O73" s="130"/>
      <c r="P73" s="130"/>
    </row>
    <row r="74" spans="5:16">
      <c r="E74" s="86"/>
      <c r="F74" s="86"/>
      <c r="G74" s="86"/>
      <c r="H74" s="130"/>
      <c r="I74" s="130"/>
      <c r="J74" s="130"/>
      <c r="K74" s="130"/>
      <c r="L74" s="130"/>
      <c r="M74" s="130"/>
      <c r="N74" s="130"/>
      <c r="O74" s="130"/>
      <c r="P74" s="130"/>
    </row>
    <row r="75" spans="5:16">
      <c r="E75" s="86"/>
      <c r="F75" s="86"/>
      <c r="G75" s="86"/>
      <c r="H75" s="130"/>
      <c r="I75" s="130"/>
      <c r="J75" s="130"/>
      <c r="K75" s="130"/>
      <c r="L75" s="130"/>
      <c r="M75" s="130"/>
      <c r="N75" s="130"/>
      <c r="O75" s="130"/>
      <c r="P75" s="130"/>
    </row>
    <row r="76" spans="5:16">
      <c r="E76" s="86"/>
      <c r="F76" s="86"/>
      <c r="G76" s="86"/>
      <c r="H76" s="130"/>
      <c r="I76" s="130"/>
      <c r="J76" s="130"/>
      <c r="K76" s="130"/>
      <c r="L76" s="130"/>
      <c r="M76" s="130"/>
      <c r="N76" s="130"/>
      <c r="O76" s="130"/>
      <c r="P76" s="130"/>
    </row>
    <row r="77" spans="5:16">
      <c r="E77" s="86"/>
      <c r="F77" s="86"/>
      <c r="G77" s="86"/>
      <c r="H77" s="130"/>
      <c r="I77" s="130"/>
      <c r="J77" s="130"/>
      <c r="K77" s="130"/>
      <c r="L77" s="130"/>
      <c r="M77" s="130"/>
      <c r="N77" s="130"/>
      <c r="O77" s="130"/>
      <c r="P77" s="130"/>
    </row>
    <row r="78" spans="5:16">
      <c r="E78" s="86"/>
      <c r="F78" s="86"/>
      <c r="G78" s="86"/>
      <c r="H78" s="130"/>
      <c r="I78" s="130"/>
      <c r="J78" s="130"/>
      <c r="K78" s="130"/>
      <c r="L78" s="130"/>
      <c r="M78" s="130"/>
      <c r="N78" s="130"/>
      <c r="O78" s="130"/>
      <c r="P78" s="130"/>
    </row>
    <row r="79" spans="5:16">
      <c r="E79" s="86"/>
      <c r="F79" s="86"/>
      <c r="G79" s="86"/>
      <c r="H79" s="130"/>
      <c r="I79" s="130"/>
      <c r="J79" s="130"/>
      <c r="K79" s="130"/>
      <c r="L79" s="130"/>
      <c r="M79" s="130"/>
      <c r="N79" s="130"/>
      <c r="O79" s="130"/>
      <c r="P79" s="130"/>
    </row>
    <row r="80" spans="5:16">
      <c r="E80" s="86"/>
      <c r="F80" s="86"/>
      <c r="G80" s="86"/>
      <c r="H80" s="130"/>
      <c r="I80" s="130"/>
      <c r="J80" s="130"/>
      <c r="K80" s="130"/>
      <c r="L80" s="130"/>
      <c r="M80" s="130"/>
      <c r="N80" s="130"/>
      <c r="O80" s="130"/>
      <c r="P80" s="130"/>
    </row>
    <row r="81" spans="5:16">
      <c r="E81" s="86"/>
      <c r="F81" s="86"/>
      <c r="G81" s="86"/>
      <c r="H81" s="130"/>
      <c r="I81" s="130"/>
      <c r="J81" s="130"/>
      <c r="K81" s="130"/>
      <c r="L81" s="130"/>
      <c r="M81" s="130"/>
      <c r="N81" s="130"/>
      <c r="O81" s="130"/>
      <c r="P81" s="130"/>
    </row>
  </sheetData>
  <mergeCells count="9">
    <mergeCell ref="O48:O51"/>
    <mergeCell ref="O53:O57"/>
    <mergeCell ref="N67:N69"/>
    <mergeCell ref="L67:L69"/>
    <mergeCell ref="L70:L72"/>
    <mergeCell ref="M70:M72"/>
    <mergeCell ref="N70:N72"/>
    <mergeCell ref="M67:M69"/>
    <mergeCell ref="I60:K60"/>
  </mergeCells>
  <pageMargins left="0.7" right="0.7" top="0.75" bottom="0.75" header="0.3" footer="0.3"/>
  <pageSetup paperSize="9" scale="31" orientation="landscape" horizontalDpi="1200" verticalDpi="1200" r:id="rId2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'Nuevo Modelo2'!#REF!</xm:f>
          </x14:formula1>
          <xm:sqref>P4</xm:sqref>
        </x14:dataValidation>
        <x14:dataValidation type="list" allowBlank="1" showInputMessage="1" showErrorMessage="1" xr:uid="{00000000-0002-0000-0300-000001000000}">
          <x14:formula1>
            <xm:f>'Nuevo Modelo2'!$C$82:$C$91</xm:f>
          </x14:formula1>
          <xm:sqref>O4</xm:sqref>
        </x14:dataValidation>
      </x14:dataValidation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showGridLines="0" zoomScale="85" zoomScaleNormal="85" workbookViewId="0">
      <pane xSplit="3" ySplit="1" topLeftCell="D2" activePane="bottomRight" state="frozen"/>
      <selection activeCell="L77" sqref="L77"/>
      <selection pane="topRight" activeCell="L77" sqref="L77"/>
      <selection pane="bottomLeft" activeCell="L77" sqref="L77"/>
      <selection pane="bottomRight" activeCell="L77" sqref="L77"/>
    </sheetView>
  </sheetViews>
  <sheetFormatPr baseColWidth="10" defaultColWidth="10.77734375" defaultRowHeight="14.4"/>
  <cols>
    <col min="1" max="1" width="13.77734375" bestFit="1" customWidth="1"/>
    <col min="2" max="5" width="13.77734375" customWidth="1"/>
    <col min="6" max="6" width="12.21875" bestFit="1" customWidth="1"/>
    <col min="7" max="7" width="12.77734375" customWidth="1"/>
    <col min="8" max="8" width="14.5546875" bestFit="1" customWidth="1"/>
    <col min="9" max="9" width="17.44140625" bestFit="1" customWidth="1"/>
    <col min="10" max="10" width="18.5546875" bestFit="1" customWidth="1"/>
    <col min="11" max="11" width="12.77734375" bestFit="1" customWidth="1"/>
    <col min="12" max="12" width="16.77734375" bestFit="1" customWidth="1"/>
    <col min="13" max="13" width="13.77734375" customWidth="1"/>
  </cols>
  <sheetData>
    <row r="1" spans="1:13">
      <c r="A1" s="178" t="s">
        <v>144</v>
      </c>
      <c r="B1" s="178" t="s">
        <v>194</v>
      </c>
      <c r="C1" s="179" t="s">
        <v>152</v>
      </c>
      <c r="D1" s="178" t="s">
        <v>195</v>
      </c>
      <c r="E1" s="179" t="s">
        <v>152</v>
      </c>
      <c r="F1" s="178" t="s">
        <v>126</v>
      </c>
      <c r="G1" s="178" t="s">
        <v>127</v>
      </c>
      <c r="H1" s="178" t="s">
        <v>128</v>
      </c>
      <c r="I1" s="178" t="s">
        <v>157</v>
      </c>
      <c r="J1" s="178" t="s">
        <v>63</v>
      </c>
      <c r="K1" s="180" t="s">
        <v>162</v>
      </c>
      <c r="L1" s="181" t="s">
        <v>129</v>
      </c>
      <c r="M1" s="179" t="s">
        <v>152</v>
      </c>
    </row>
    <row r="2" spans="1:13">
      <c r="A2" s="182" t="s">
        <v>123</v>
      </c>
      <c r="B2" s="188">
        <v>1408205062</v>
      </c>
      <c r="C2" s="188"/>
      <c r="D2" s="189">
        <v>205615651</v>
      </c>
      <c r="E2" s="188"/>
      <c r="F2" s="186">
        <v>392556574.64387882</v>
      </c>
      <c r="G2" s="186">
        <v>128415454</v>
      </c>
      <c r="H2" s="186">
        <v>60473832.300000004</v>
      </c>
      <c r="I2" s="175">
        <v>581446000</v>
      </c>
      <c r="J2" s="184">
        <v>774813000</v>
      </c>
      <c r="K2" s="185">
        <v>9942000</v>
      </c>
      <c r="L2" s="187">
        <v>784755000</v>
      </c>
      <c r="M2" s="188"/>
    </row>
    <row r="3" spans="1:13">
      <c r="A3" s="182" t="s">
        <v>122</v>
      </c>
      <c r="B3" s="188">
        <v>1378619137</v>
      </c>
      <c r="C3" s="190">
        <f>(B3-B2)/B3</f>
        <v>-2.1460550057633504E-2</v>
      </c>
      <c r="D3" s="189">
        <v>224465967</v>
      </c>
      <c r="E3" s="190">
        <f>(D3-D2)/D3</f>
        <v>8.3978503520758668E-2</v>
      </c>
      <c r="F3" s="186">
        <v>387651722.37529892</v>
      </c>
      <c r="G3" s="185">
        <v>128415454</v>
      </c>
      <c r="H3" s="186">
        <v>61611474.600000001</v>
      </c>
      <c r="I3" s="175">
        <v>577679000</v>
      </c>
      <c r="J3" s="184">
        <v>784755000</v>
      </c>
      <c r="K3" s="185">
        <v>-3767000</v>
      </c>
      <c r="L3" s="187">
        <v>780988000</v>
      </c>
      <c r="M3" s="190">
        <f t="shared" ref="M3:M10" si="0">(L3-L2)/L3</f>
        <v>-4.8233775679011716E-3</v>
      </c>
    </row>
    <row r="4" spans="1:13">
      <c r="A4" s="182" t="s">
        <v>121</v>
      </c>
      <c r="B4" s="188">
        <v>1287184695</v>
      </c>
      <c r="C4" s="190">
        <f t="shared" ref="C4:C10" si="1">(B4-B3)/B4</f>
        <v>-7.1034438457178828E-2</v>
      </c>
      <c r="D4" s="189">
        <v>122330374</v>
      </c>
      <c r="E4" s="190">
        <f t="shared" ref="E4:E9" si="2">(D4-D3)/D4</f>
        <v>-0.83491605281939218</v>
      </c>
      <c r="F4" s="186">
        <v>374903147.89324188</v>
      </c>
      <c r="G4" s="186">
        <v>68278527.699999988</v>
      </c>
      <c r="H4" s="185">
        <v>40060324.406758122</v>
      </c>
      <c r="I4" s="175">
        <v>483242000</v>
      </c>
      <c r="J4" s="184">
        <v>618385000</v>
      </c>
      <c r="K4" s="185">
        <v>68166000</v>
      </c>
      <c r="L4" s="187">
        <v>686551000</v>
      </c>
      <c r="M4" s="190">
        <f t="shared" si="0"/>
        <v>-0.1375527819491924</v>
      </c>
    </row>
    <row r="5" spans="1:13">
      <c r="A5" s="182" t="s">
        <v>120</v>
      </c>
      <c r="B5" s="188">
        <v>1281480170</v>
      </c>
      <c r="C5" s="190">
        <f t="shared" si="1"/>
        <v>-4.4515125037010916E-3</v>
      </c>
      <c r="D5" s="189">
        <v>180618914</v>
      </c>
      <c r="E5" s="190">
        <f t="shared" si="2"/>
        <v>0.32271559334035194</v>
      </c>
      <c r="F5" s="186">
        <v>42379011.362780966</v>
      </c>
      <c r="G5" s="186">
        <v>0</v>
      </c>
      <c r="H5" s="186">
        <v>1081867581.0000002</v>
      </c>
      <c r="I5" s="182">
        <v>1124246592.3627813</v>
      </c>
      <c r="J5" s="184">
        <v>686551000</v>
      </c>
      <c r="K5" s="185">
        <v>69889000</v>
      </c>
      <c r="L5" s="187">
        <v>756440000</v>
      </c>
      <c r="M5" s="190">
        <f t="shared" si="0"/>
        <v>9.2391994077521022E-2</v>
      </c>
    </row>
    <row r="6" spans="1:13">
      <c r="A6" s="182" t="s">
        <v>142</v>
      </c>
      <c r="B6" s="188">
        <v>1337100352</v>
      </c>
      <c r="C6" s="190">
        <f t="shared" si="1"/>
        <v>4.1597612263585736E-2</v>
      </c>
      <c r="D6" s="189">
        <v>155720180</v>
      </c>
      <c r="E6" s="190">
        <f t="shared" si="2"/>
        <v>-0.15989407410137851</v>
      </c>
      <c r="F6" s="186">
        <v>53210372.386347398</v>
      </c>
      <c r="G6" s="185">
        <v>0</v>
      </c>
      <c r="H6" s="186">
        <v>1071190682.1</v>
      </c>
      <c r="I6" s="182">
        <v>1124401054.4863474</v>
      </c>
      <c r="J6" s="188">
        <v>756440000</v>
      </c>
      <c r="K6" s="186">
        <v>68055000</v>
      </c>
      <c r="L6" s="187">
        <v>824495000</v>
      </c>
      <c r="M6" s="190">
        <f t="shared" si="0"/>
        <v>8.2541434453817189E-2</v>
      </c>
    </row>
    <row r="7" spans="1:13">
      <c r="A7" s="182" t="s">
        <v>132</v>
      </c>
      <c r="B7" s="188">
        <v>1231303460</v>
      </c>
      <c r="C7" s="190">
        <f t="shared" si="1"/>
        <v>-8.5922679044530575E-2</v>
      </c>
      <c r="D7" s="189">
        <v>183387574</v>
      </c>
      <c r="E7" s="190">
        <f t="shared" si="2"/>
        <v>0.15086842252463625</v>
      </c>
      <c r="F7" s="186">
        <v>55803330.751698203</v>
      </c>
      <c r="G7" s="185">
        <v>0</v>
      </c>
      <c r="H7" s="185">
        <v>968446302.30000007</v>
      </c>
      <c r="I7" s="175">
        <v>1024249633.0516983</v>
      </c>
      <c r="J7" s="184">
        <v>684946000</v>
      </c>
      <c r="K7" s="185">
        <v>126271000</v>
      </c>
      <c r="L7" s="187">
        <v>811217000</v>
      </c>
      <c r="M7" s="190">
        <f t="shared" si="0"/>
        <v>-1.6368000177511072E-2</v>
      </c>
    </row>
    <row r="8" spans="1:13">
      <c r="A8" s="182" t="s">
        <v>134</v>
      </c>
      <c r="B8" s="188">
        <v>1315298308</v>
      </c>
      <c r="C8" s="190">
        <f t="shared" si="1"/>
        <v>6.3859922489917773E-2</v>
      </c>
      <c r="D8" s="189">
        <v>123694311</v>
      </c>
      <c r="E8" s="190">
        <f t="shared" si="2"/>
        <v>-0.48258697200714429</v>
      </c>
      <c r="F8" s="186">
        <v>46317724.872353576</v>
      </c>
      <c r="G8" s="185">
        <v>0</v>
      </c>
      <c r="H8" s="185">
        <v>1081342179</v>
      </c>
      <c r="I8" s="182">
        <v>1127659903.8723536</v>
      </c>
      <c r="J8" s="188">
        <v>811217000</v>
      </c>
      <c r="K8" s="185">
        <v>143456000</v>
      </c>
      <c r="L8" s="187">
        <v>954673200</v>
      </c>
      <c r="M8" s="190">
        <f t="shared" si="0"/>
        <v>0.15026733755593014</v>
      </c>
    </row>
    <row r="9" spans="1:13">
      <c r="A9" s="182" t="s">
        <v>139</v>
      </c>
      <c r="B9" s="188">
        <v>1400394588</v>
      </c>
      <c r="C9" s="190">
        <f t="shared" si="1"/>
        <v>6.0765930352195852E-2</v>
      </c>
      <c r="D9" s="189">
        <v>165055182</v>
      </c>
      <c r="E9" s="190">
        <f t="shared" si="2"/>
        <v>0.25058813966834437</v>
      </c>
      <c r="F9" s="185">
        <v>56047794.008204669</v>
      </c>
      <c r="G9" s="185">
        <v>0</v>
      </c>
      <c r="H9" s="185">
        <v>1153663827.2999997</v>
      </c>
      <c r="I9" s="175">
        <v>1209711621.3082044</v>
      </c>
      <c r="J9" s="184">
        <v>954673000</v>
      </c>
      <c r="K9" s="185">
        <v>139702100</v>
      </c>
      <c r="L9" s="187">
        <v>1094375100</v>
      </c>
      <c r="M9" s="190">
        <f t="shared" si="0"/>
        <v>0.12765449433197082</v>
      </c>
    </row>
    <row r="10" spans="1:13">
      <c r="A10" s="182" t="s">
        <v>143</v>
      </c>
      <c r="B10" s="188">
        <v>1441637977</v>
      </c>
      <c r="C10" s="190">
        <f t="shared" si="1"/>
        <v>2.8608700421326374E-2</v>
      </c>
      <c r="D10" s="189">
        <v>150154070</v>
      </c>
      <c r="E10" s="190">
        <f>(D10-D9)/D10</f>
        <v>-9.923881517164336E-2</v>
      </c>
      <c r="F10" s="185">
        <v>48127277.053978063</v>
      </c>
      <c r="G10" s="185">
        <v>0</v>
      </c>
      <c r="H10" s="185">
        <v>1233022725.6999998</v>
      </c>
      <c r="I10" s="175">
        <v>1224259300</v>
      </c>
      <c r="J10" s="184">
        <v>1094375000</v>
      </c>
      <c r="K10" s="185">
        <v>186775000</v>
      </c>
      <c r="L10" s="187">
        <v>1281150000</v>
      </c>
      <c r="M10" s="190">
        <f t="shared" si="0"/>
        <v>0.1457869101978691</v>
      </c>
    </row>
    <row r="11" spans="1:13">
      <c r="B11" s="87"/>
      <c r="C11" s="191"/>
      <c r="D11" s="191"/>
      <c r="E11" s="191"/>
      <c r="M11" s="19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>
    <tabColor rgb="FF6B5AE8"/>
  </sheetPr>
  <dimension ref="B2:L41"/>
  <sheetViews>
    <sheetView showGridLines="0" zoomScaleNormal="100" workbookViewId="0">
      <selection activeCell="G10" sqref="G10"/>
    </sheetView>
  </sheetViews>
  <sheetFormatPr baseColWidth="10" defaultColWidth="10.77734375" defaultRowHeight="13.2"/>
  <cols>
    <col min="1" max="1" width="10.77734375" style="106"/>
    <col min="2" max="2" width="15.5546875" style="106" bestFit="1" customWidth="1"/>
    <col min="3" max="3" width="19.21875" style="106" bestFit="1" customWidth="1"/>
    <col min="4" max="4" width="4.5546875" style="106" customWidth="1"/>
    <col min="5" max="5" width="25.5546875" style="106" customWidth="1"/>
    <col min="6" max="6" width="4.77734375" style="106" customWidth="1"/>
    <col min="7" max="7" width="23.21875" style="106" customWidth="1"/>
    <col min="8" max="8" width="6.44140625" style="106" customWidth="1"/>
    <col min="9" max="9" width="18.77734375" style="106" customWidth="1"/>
    <col min="10" max="10" width="10.77734375" style="106" customWidth="1"/>
    <col min="11" max="16384" width="10.77734375" style="106"/>
  </cols>
  <sheetData>
    <row r="2" spans="2:10" ht="14.55" customHeight="1">
      <c r="B2" s="356" t="s">
        <v>153</v>
      </c>
      <c r="C2" s="356"/>
      <c r="D2" s="356"/>
      <c r="E2" s="356"/>
      <c r="F2" s="356"/>
      <c r="G2" s="356"/>
      <c r="H2" s="356"/>
      <c r="I2" s="356"/>
      <c r="J2" s="356"/>
    </row>
    <row r="3" spans="2:10">
      <c r="B3" s="356"/>
      <c r="C3" s="356"/>
      <c r="D3" s="356"/>
      <c r="E3" s="356"/>
      <c r="F3" s="356"/>
      <c r="G3" s="356"/>
      <c r="H3" s="356"/>
      <c r="I3" s="356"/>
      <c r="J3" s="356"/>
    </row>
    <row r="4" spans="2:10">
      <c r="B4" s="356"/>
      <c r="C4" s="356"/>
      <c r="D4" s="356"/>
      <c r="E4" s="356"/>
      <c r="F4" s="356"/>
      <c r="G4" s="356"/>
      <c r="H4" s="356"/>
      <c r="I4" s="356"/>
      <c r="J4" s="356"/>
    </row>
    <row r="5" spans="2:10" ht="13.05" customHeight="1">
      <c r="B5" s="356"/>
      <c r="C5" s="356"/>
      <c r="D5" s="356"/>
      <c r="E5" s="356"/>
      <c r="F5" s="356"/>
      <c r="G5" s="356"/>
      <c r="H5" s="356"/>
      <c r="I5" s="356"/>
      <c r="J5" s="356"/>
    </row>
    <row r="6" spans="2:10">
      <c r="B6" s="119"/>
    </row>
    <row r="7" spans="2:10" ht="26.1" customHeight="1">
      <c r="B7" s="120" t="s">
        <v>66</v>
      </c>
      <c r="C7" s="120" t="s">
        <v>67</v>
      </c>
      <c r="D7" s="357" t="s">
        <v>68</v>
      </c>
      <c r="E7" s="358"/>
      <c r="F7" s="357" t="s">
        <v>89</v>
      </c>
      <c r="G7" s="358"/>
      <c r="H7" s="357" t="s">
        <v>151</v>
      </c>
      <c r="I7" s="358"/>
    </row>
    <row r="8" spans="2:10">
      <c r="B8" s="125" t="s">
        <v>228</v>
      </c>
      <c r="C8" s="127">
        <v>1915461888</v>
      </c>
      <c r="D8" s="129">
        <f>+E8/C8</f>
        <v>0.92594112788737459</v>
      </c>
      <c r="E8" s="127">
        <v>1773604941</v>
      </c>
      <c r="F8" s="129">
        <f>+G8/C8</f>
        <v>7.4058872112625407E-2</v>
      </c>
      <c r="G8" s="127">
        <v>141856947</v>
      </c>
      <c r="H8" s="129">
        <f>+I8/C8</f>
        <v>0</v>
      </c>
      <c r="I8" s="127">
        <f t="shared" ref="I8:I15" si="0">+C8-E8-G8</f>
        <v>0</v>
      </c>
    </row>
    <row r="9" spans="2:10">
      <c r="B9" s="125" t="s">
        <v>227</v>
      </c>
      <c r="C9" s="127">
        <v>2265339149</v>
      </c>
      <c r="D9" s="129">
        <f t="shared" ref="D9:D15" si="1">+E9/C9</f>
        <v>0.9132174985424224</v>
      </c>
      <c r="E9" s="127">
        <v>2068747351</v>
      </c>
      <c r="F9" s="129">
        <f t="shared" ref="F9:F16" si="2">+G9/C9</f>
        <v>8.6782501345351204E-2</v>
      </c>
      <c r="G9" s="127">
        <v>196591797.74576926</v>
      </c>
      <c r="H9" s="129">
        <f t="shared" ref="H9:H16" si="3">+I9/C9</f>
        <v>1.1222634712262999E-10</v>
      </c>
      <c r="I9" s="127">
        <f t="shared" si="0"/>
        <v>0.25423073768615723</v>
      </c>
    </row>
    <row r="10" spans="2:10">
      <c r="B10" s="125" t="s">
        <v>185</v>
      </c>
      <c r="C10" s="127">
        <v>2149518413</v>
      </c>
      <c r="D10" s="129">
        <f t="shared" si="1"/>
        <v>0.80934640172351946</v>
      </c>
      <c r="E10" s="127">
        <v>1739704993</v>
      </c>
      <c r="F10" s="129">
        <f t="shared" si="2"/>
        <v>0.19065359827648054</v>
      </c>
      <c r="G10" s="127">
        <v>409813420</v>
      </c>
      <c r="H10" s="129">
        <f t="shared" si="3"/>
        <v>0</v>
      </c>
      <c r="I10" s="127">
        <f t="shared" si="0"/>
        <v>0</v>
      </c>
    </row>
    <row r="11" spans="2:10">
      <c r="B11" s="125" t="s">
        <v>20</v>
      </c>
      <c r="C11" s="127">
        <f>+VLOOKUP(B11,'Resumen General x Edades'!A:D,4,0)</f>
        <v>2147464322</v>
      </c>
      <c r="D11" s="129">
        <f t="shared" si="1"/>
        <v>0.86166027022822878</v>
      </c>
      <c r="E11" s="127">
        <f>VLOOKUP(B11,'Resumen General x Edades'!A:E,5,0)</f>
        <v>1850384688</v>
      </c>
      <c r="F11" s="129">
        <f t="shared" si="2"/>
        <v>0.13833972977177128</v>
      </c>
      <c r="G11" s="127">
        <f>+VLOOKUP(B11,'Resumen General x Edades'!A:F,6,0)</f>
        <v>297079634</v>
      </c>
      <c r="H11" s="129">
        <f t="shared" si="3"/>
        <v>0</v>
      </c>
      <c r="I11" s="127">
        <f t="shared" si="0"/>
        <v>0</v>
      </c>
    </row>
    <row r="12" spans="2:10">
      <c r="B12" s="125" t="s">
        <v>21</v>
      </c>
      <c r="C12" s="127">
        <f>+VLOOKUP(B12,'Resumen General x Edades'!A:D,4,0)</f>
        <v>2181232827</v>
      </c>
      <c r="D12" s="129">
        <f t="shared" si="1"/>
        <v>0.84868277658650881</v>
      </c>
      <c r="E12" s="127">
        <f>VLOOKUP(B12,'Resumen General x Edades'!A:E,5,0)</f>
        <v>1851174732</v>
      </c>
      <c r="F12" s="129">
        <f t="shared" si="2"/>
        <v>8.4660579427452379E-2</v>
      </c>
      <c r="G12" s="127">
        <f>+VLOOKUP(B12,'Resumen General x Edades'!A:F,6,0)</f>
        <v>184664435</v>
      </c>
      <c r="H12" s="129">
        <f t="shared" si="3"/>
        <v>6.6656643986038822E-2</v>
      </c>
      <c r="I12" s="127">
        <f t="shared" si="0"/>
        <v>145393660</v>
      </c>
    </row>
    <row r="13" spans="2:10">
      <c r="B13" s="125" t="s">
        <v>22</v>
      </c>
      <c r="C13" s="127">
        <f>+VLOOKUP(B13,'Resumen General x Edades'!A:D,4,0)</f>
        <v>2457236468</v>
      </c>
      <c r="D13" s="129">
        <f t="shared" si="1"/>
        <v>0.86334802678827893</v>
      </c>
      <c r="E13" s="127">
        <f>VLOOKUP(B13,'Resumen General x Edades'!A:E,5,0)</f>
        <v>2121450256</v>
      </c>
      <c r="F13" s="129">
        <f t="shared" si="2"/>
        <v>0</v>
      </c>
      <c r="G13" s="127">
        <f>+VLOOKUP(B13,'Resumen General x Edades'!A:F,6,0)</f>
        <v>0</v>
      </c>
      <c r="H13" s="129">
        <f t="shared" si="3"/>
        <v>0.13665197321172104</v>
      </c>
      <c r="I13" s="127">
        <f t="shared" si="0"/>
        <v>335786212</v>
      </c>
    </row>
    <row r="14" spans="2:10">
      <c r="B14" s="125" t="s">
        <v>23</v>
      </c>
      <c r="C14" s="127">
        <f>+VLOOKUP(B14,'Resumen General x Edades'!A:D,4,0)</f>
        <v>2492212944</v>
      </c>
      <c r="D14" s="129">
        <f t="shared" si="1"/>
        <v>0.79391416803427051</v>
      </c>
      <c r="E14" s="127">
        <f>VLOOKUP(B14,'Resumen General x Edades'!A:E,5,0)</f>
        <v>1978603166</v>
      </c>
      <c r="F14" s="129">
        <f t="shared" si="2"/>
        <v>0</v>
      </c>
      <c r="G14" s="127">
        <f>+VLOOKUP(B14,'Resumen General x Edades'!A:F,6,0)</f>
        <v>0</v>
      </c>
      <c r="H14" s="129">
        <f t="shared" si="3"/>
        <v>0.20608583196572949</v>
      </c>
      <c r="I14" s="127">
        <f t="shared" si="0"/>
        <v>513609778</v>
      </c>
    </row>
    <row r="15" spans="2:10">
      <c r="B15" s="125" t="s">
        <v>199</v>
      </c>
      <c r="C15" s="127">
        <f>+VLOOKUP(B15,'Resumen General x Edades'!A:D,4,0)</f>
        <v>2270699221</v>
      </c>
      <c r="D15" s="129">
        <f t="shared" si="1"/>
        <v>0.7923193077979217</v>
      </c>
      <c r="E15" s="127">
        <f>VLOOKUP(B15,'Resumen General x Edades'!A:E,5,0)</f>
        <v>1799118835</v>
      </c>
      <c r="F15" s="129">
        <f t="shared" si="2"/>
        <v>0</v>
      </c>
      <c r="G15" s="127">
        <f>+VLOOKUP(B15,'Resumen General x Edades'!A:F,6,0)</f>
        <v>0</v>
      </c>
      <c r="H15" s="129">
        <f t="shared" si="3"/>
        <v>0.20768069220207833</v>
      </c>
      <c r="I15" s="127">
        <f t="shared" si="0"/>
        <v>471580386</v>
      </c>
    </row>
    <row r="16" spans="2:10">
      <c r="B16" s="126" t="s">
        <v>74</v>
      </c>
      <c r="C16" s="128">
        <f>SUM(C8:C15)</f>
        <v>17879165232</v>
      </c>
      <c r="D16" s="268">
        <f>+E16/C16</f>
        <v>0.84918891709921418</v>
      </c>
      <c r="E16" s="128">
        <f>SUM(E8:E15)</f>
        <v>15182788962</v>
      </c>
      <c r="F16" s="268">
        <f t="shared" si="2"/>
        <v>6.8795506825134828E-2</v>
      </c>
      <c r="G16" s="128">
        <f>SUM(G8:G15)</f>
        <v>1230006233.7457693</v>
      </c>
      <c r="H16" s="268">
        <f t="shared" si="3"/>
        <v>8.201557607565102E-2</v>
      </c>
      <c r="I16" s="128">
        <f>SUM(I8:I15)</f>
        <v>1466370036.2542307</v>
      </c>
    </row>
    <row r="17" spans="2:12">
      <c r="B17" s="121"/>
      <c r="C17" s="122"/>
      <c r="D17" s="122"/>
      <c r="E17" s="123"/>
      <c r="F17" s="123"/>
      <c r="G17" s="124"/>
      <c r="H17" s="124"/>
    </row>
    <row r="20" spans="2:12">
      <c r="G20" s="261"/>
      <c r="H20" s="261"/>
      <c r="I20" s="261"/>
      <c r="J20" s="261"/>
      <c r="K20" s="261"/>
      <c r="L20" s="261"/>
    </row>
    <row r="21" spans="2:12">
      <c r="G21" s="261"/>
      <c r="H21" s="261"/>
      <c r="I21" s="261"/>
      <c r="J21" s="261"/>
      <c r="K21" s="261"/>
      <c r="L21" s="261"/>
    </row>
    <row r="22" spans="2:12">
      <c r="G22" s="261"/>
      <c r="H22" s="261"/>
      <c r="I22" s="261"/>
      <c r="J22" s="261"/>
      <c r="K22" s="261"/>
      <c r="L22" s="261"/>
    </row>
    <row r="23" spans="2:12">
      <c r="G23" s="261"/>
      <c r="H23" s="261"/>
      <c r="I23" s="261"/>
      <c r="J23" s="261"/>
      <c r="K23" s="261"/>
      <c r="L23" s="261"/>
    </row>
    <row r="24" spans="2:12">
      <c r="G24" s="261"/>
      <c r="H24" s="261"/>
      <c r="I24" s="261"/>
      <c r="J24" s="261"/>
      <c r="K24" s="261"/>
      <c r="L24" s="261"/>
    </row>
    <row r="25" spans="2:12">
      <c r="G25" s="262"/>
      <c r="H25" s="261"/>
      <c r="I25" s="261"/>
      <c r="J25" s="261"/>
      <c r="K25" s="261"/>
      <c r="L25" s="261"/>
    </row>
    <row r="26" spans="2:12">
      <c r="G26" s="261"/>
      <c r="H26" s="261"/>
      <c r="I26" s="261"/>
      <c r="J26" s="261"/>
      <c r="K26" s="261"/>
      <c r="L26" s="261"/>
    </row>
    <row r="27" spans="2:12">
      <c r="G27" s="261"/>
      <c r="H27" s="261"/>
      <c r="I27" s="261"/>
      <c r="J27" s="261"/>
      <c r="K27" s="261"/>
      <c r="L27" s="261"/>
    </row>
    <row r="28" spans="2:12">
      <c r="G28" s="262"/>
      <c r="H28" s="261"/>
      <c r="I28" s="261"/>
      <c r="J28" s="261"/>
      <c r="K28" s="261"/>
      <c r="L28" s="261"/>
    </row>
    <row r="29" spans="2:12">
      <c r="G29" s="263"/>
      <c r="H29" s="261"/>
      <c r="I29" s="261"/>
      <c r="J29" s="261"/>
      <c r="K29" s="261"/>
      <c r="L29" s="261"/>
    </row>
    <row r="30" spans="2:12">
      <c r="G30" s="261"/>
      <c r="H30" s="261"/>
      <c r="I30" s="261"/>
      <c r="J30" s="261"/>
      <c r="K30" s="261"/>
      <c r="L30" s="261"/>
    </row>
    <row r="31" spans="2:12">
      <c r="G31" s="261"/>
      <c r="H31" s="261"/>
      <c r="I31" s="261"/>
      <c r="J31" s="261"/>
      <c r="K31" s="261"/>
      <c r="L31" s="261"/>
    </row>
    <row r="32" spans="2:12">
      <c r="G32" s="264"/>
      <c r="H32" s="265"/>
      <c r="I32" s="261"/>
      <c r="J32" s="261"/>
      <c r="K32" s="261"/>
      <c r="L32" s="261"/>
    </row>
    <row r="33" spans="7:12">
      <c r="G33" s="261"/>
      <c r="H33" s="261"/>
      <c r="I33" s="261"/>
      <c r="J33" s="266"/>
      <c r="K33" s="261"/>
      <c r="L33" s="261"/>
    </row>
    <row r="34" spans="7:12">
      <c r="G34" s="261"/>
      <c r="H34" s="261"/>
      <c r="I34" s="261"/>
      <c r="J34" s="266"/>
      <c r="K34" s="261"/>
      <c r="L34" s="261"/>
    </row>
    <row r="35" spans="7:12">
      <c r="G35" s="261"/>
      <c r="H35" s="261"/>
      <c r="I35" s="261"/>
      <c r="J35" s="266"/>
      <c r="K35" s="261"/>
      <c r="L35" s="261"/>
    </row>
    <row r="36" spans="7:12">
      <c r="G36" s="261"/>
      <c r="H36" s="261"/>
      <c r="I36" s="261"/>
      <c r="J36" s="266"/>
      <c r="K36" s="261"/>
      <c r="L36" s="261"/>
    </row>
    <row r="37" spans="7:12">
      <c r="G37" s="261"/>
      <c r="H37" s="261"/>
      <c r="I37" s="261"/>
      <c r="J37" s="266"/>
      <c r="K37" s="261"/>
      <c r="L37" s="261"/>
    </row>
    <row r="38" spans="7:12">
      <c r="G38" s="261"/>
      <c r="H38" s="261"/>
      <c r="I38" s="261"/>
      <c r="J38" s="261"/>
      <c r="K38" s="261"/>
      <c r="L38" s="261"/>
    </row>
    <row r="39" spans="7:12">
      <c r="G39" s="261"/>
      <c r="H39" s="261"/>
      <c r="I39" s="261"/>
      <c r="J39" s="261"/>
      <c r="K39" s="261"/>
      <c r="L39" s="261"/>
    </row>
    <row r="40" spans="7:12">
      <c r="G40" s="261"/>
      <c r="H40" s="267"/>
      <c r="I40" s="261"/>
      <c r="J40" s="261"/>
      <c r="K40" s="261"/>
      <c r="L40" s="261"/>
    </row>
    <row r="41" spans="7:12">
      <c r="G41" s="261"/>
      <c r="H41" s="263"/>
      <c r="I41" s="261"/>
      <c r="J41" s="261"/>
      <c r="K41" s="261"/>
      <c r="L41" s="261"/>
    </row>
  </sheetData>
  <mergeCells count="4">
    <mergeCell ref="B2:J5"/>
    <mergeCell ref="D7:E7"/>
    <mergeCell ref="F7:G7"/>
    <mergeCell ref="H7:I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>
    <tabColor rgb="FF6B5AE8"/>
  </sheetPr>
  <dimension ref="B1:K45"/>
  <sheetViews>
    <sheetView showGridLines="0" zoomScale="55" zoomScaleNormal="55" workbookViewId="0">
      <pane ySplit="7" topLeftCell="A8" activePane="bottomLeft" state="frozen"/>
      <selection activeCell="D12" sqref="D12"/>
      <selection pane="bottomLeft" activeCell="D12" sqref="D12"/>
    </sheetView>
  </sheetViews>
  <sheetFormatPr baseColWidth="10" defaultColWidth="13.77734375" defaultRowHeight="14.4"/>
  <cols>
    <col min="2" max="2" width="58.21875" bestFit="1" customWidth="1"/>
    <col min="3" max="8" width="23.5546875" customWidth="1"/>
    <col min="9" max="9" width="27.44140625" style="87" customWidth="1"/>
    <col min="10" max="10" width="16.44140625" bestFit="1" customWidth="1"/>
  </cols>
  <sheetData>
    <row r="1" spans="2:9" s="106" customFormat="1" ht="13.2"/>
    <row r="2" spans="2:9" s="106" customFormat="1" ht="14.55" customHeight="1">
      <c r="B2" s="356" t="s">
        <v>163</v>
      </c>
      <c r="C2" s="356"/>
      <c r="D2" s="356"/>
      <c r="E2" s="356"/>
      <c r="F2" s="356"/>
      <c r="G2" s="356"/>
      <c r="H2" s="356"/>
      <c r="I2" s="356"/>
    </row>
    <row r="3" spans="2:9" s="106" customFormat="1" ht="12.6" customHeight="1">
      <c r="B3" s="356"/>
      <c r="C3" s="356"/>
      <c r="D3" s="356"/>
      <c r="E3" s="356"/>
      <c r="F3" s="356"/>
      <c r="G3" s="356"/>
      <c r="H3" s="356"/>
      <c r="I3" s="356"/>
    </row>
    <row r="4" spans="2:9" s="106" customFormat="1" ht="12.6" customHeight="1">
      <c r="B4" s="356"/>
      <c r="C4" s="356"/>
      <c r="D4" s="356"/>
      <c r="E4" s="356"/>
      <c r="F4" s="356"/>
      <c r="G4" s="356"/>
      <c r="H4" s="356"/>
      <c r="I4" s="356"/>
    </row>
    <row r="5" spans="2:9" s="106" customFormat="1" ht="13.05" customHeight="1">
      <c r="B5" s="356"/>
      <c r="C5" s="356"/>
      <c r="D5" s="356"/>
      <c r="E5" s="356"/>
      <c r="F5" s="356"/>
      <c r="G5" s="356"/>
      <c r="H5" s="356"/>
      <c r="I5" s="356"/>
    </row>
    <row r="6" spans="2:9" s="106" customFormat="1" ht="13.2">
      <c r="B6" s="119"/>
    </row>
    <row r="7" spans="2:9" ht="31.05" customHeight="1">
      <c r="B7" s="142" t="s">
        <v>29</v>
      </c>
      <c r="C7" s="143" t="s">
        <v>39</v>
      </c>
      <c r="D7" s="143" t="s">
        <v>40</v>
      </c>
      <c r="E7" s="143" t="s">
        <v>42</v>
      </c>
      <c r="F7" s="143" t="s">
        <v>44</v>
      </c>
      <c r="G7" s="143" t="s">
        <v>46</v>
      </c>
      <c r="H7" s="143" t="s">
        <v>48</v>
      </c>
      <c r="I7" s="144" t="s">
        <v>32</v>
      </c>
    </row>
    <row r="8" spans="2:9">
      <c r="B8" s="145" t="s">
        <v>136</v>
      </c>
      <c r="C8" s="146"/>
      <c r="D8" s="146"/>
      <c r="E8" s="146"/>
      <c r="F8" s="146"/>
      <c r="G8" s="146"/>
      <c r="H8" s="146">
        <v>23015</v>
      </c>
      <c r="I8" s="147">
        <f>+SUM(C8:H8)</f>
        <v>23015</v>
      </c>
    </row>
    <row r="9" spans="2:9">
      <c r="B9" s="145" t="s">
        <v>91</v>
      </c>
      <c r="C9" s="146">
        <v>8952704</v>
      </c>
      <c r="D9" s="146">
        <v>2326559</v>
      </c>
      <c r="E9" s="146"/>
      <c r="F9" s="146"/>
      <c r="G9" s="146"/>
      <c r="H9" s="146">
        <v>69174650</v>
      </c>
      <c r="I9" s="147">
        <f t="shared" ref="I9:I44" si="0">+SUM(C9:H9)</f>
        <v>80453913</v>
      </c>
    </row>
    <row r="10" spans="2:9">
      <c r="B10" s="145" t="s">
        <v>33</v>
      </c>
      <c r="C10" s="146"/>
      <c r="D10" s="146"/>
      <c r="E10" s="146"/>
      <c r="F10" s="146"/>
      <c r="G10" s="146"/>
      <c r="H10" s="146">
        <v>0</v>
      </c>
      <c r="I10" s="147">
        <f t="shared" si="0"/>
        <v>0</v>
      </c>
    </row>
    <row r="11" spans="2:9">
      <c r="B11" s="145" t="s">
        <v>92</v>
      </c>
      <c r="C11" s="146"/>
      <c r="D11" s="146"/>
      <c r="E11" s="146">
        <v>97657</v>
      </c>
      <c r="F11" s="146"/>
      <c r="G11" s="146">
        <v>135661</v>
      </c>
      <c r="H11" s="146">
        <v>1378542</v>
      </c>
      <c r="I11" s="147">
        <f t="shared" si="0"/>
        <v>1611860</v>
      </c>
    </row>
    <row r="12" spans="2:9">
      <c r="B12" s="145" t="s">
        <v>137</v>
      </c>
      <c r="C12" s="146">
        <v>125206</v>
      </c>
      <c r="D12" s="146"/>
      <c r="E12" s="146"/>
      <c r="F12" s="146"/>
      <c r="G12" s="146"/>
      <c r="H12" s="146">
        <v>0</v>
      </c>
      <c r="I12" s="147">
        <f t="shared" si="0"/>
        <v>125206</v>
      </c>
    </row>
    <row r="13" spans="2:9">
      <c r="B13" s="145" t="s">
        <v>93</v>
      </c>
      <c r="C13" s="146"/>
      <c r="D13" s="146"/>
      <c r="E13" s="146"/>
      <c r="F13" s="146"/>
      <c r="G13" s="146"/>
      <c r="H13" s="146">
        <v>8174496</v>
      </c>
      <c r="I13" s="147">
        <f t="shared" si="0"/>
        <v>8174496</v>
      </c>
    </row>
    <row r="14" spans="2:9">
      <c r="B14" s="145" t="s">
        <v>34</v>
      </c>
      <c r="C14" s="146">
        <v>44104</v>
      </c>
      <c r="D14" s="146"/>
      <c r="E14" s="146"/>
      <c r="F14" s="146"/>
      <c r="G14" s="146">
        <v>20139</v>
      </c>
      <c r="H14" s="146">
        <v>1433852</v>
      </c>
      <c r="I14" s="147">
        <f t="shared" si="0"/>
        <v>1498095</v>
      </c>
    </row>
    <row r="15" spans="2:9">
      <c r="B15" s="145" t="s">
        <v>94</v>
      </c>
      <c r="C15" s="146">
        <v>881123</v>
      </c>
      <c r="D15" s="146">
        <v>88208</v>
      </c>
      <c r="E15" s="146">
        <v>220707</v>
      </c>
      <c r="F15" s="146"/>
      <c r="G15" s="146">
        <v>601388</v>
      </c>
      <c r="H15" s="146">
        <v>8417446</v>
      </c>
      <c r="I15" s="147">
        <f t="shared" si="0"/>
        <v>10208872</v>
      </c>
    </row>
    <row r="16" spans="2:9">
      <c r="B16" s="145" t="s">
        <v>95</v>
      </c>
      <c r="C16" s="146"/>
      <c r="D16" s="146"/>
      <c r="E16" s="146"/>
      <c r="F16" s="146"/>
      <c r="G16" s="146"/>
      <c r="H16" s="146">
        <v>14001291</v>
      </c>
      <c r="I16" s="147">
        <f t="shared" si="0"/>
        <v>14001291</v>
      </c>
    </row>
    <row r="17" spans="2:9">
      <c r="B17" s="145" t="s">
        <v>96</v>
      </c>
      <c r="C17" s="146"/>
      <c r="D17" s="146"/>
      <c r="E17" s="146"/>
      <c r="F17" s="146"/>
      <c r="G17" s="146"/>
      <c r="H17" s="146">
        <v>418269</v>
      </c>
      <c r="I17" s="147">
        <f t="shared" si="0"/>
        <v>418269</v>
      </c>
    </row>
    <row r="18" spans="2:9">
      <c r="B18" s="145" t="s">
        <v>97</v>
      </c>
      <c r="C18" s="146"/>
      <c r="D18" s="146"/>
      <c r="E18" s="146"/>
      <c r="F18" s="146"/>
      <c r="G18" s="146"/>
      <c r="H18" s="146">
        <v>42223</v>
      </c>
      <c r="I18" s="147">
        <f t="shared" si="0"/>
        <v>42223</v>
      </c>
    </row>
    <row r="19" spans="2:9">
      <c r="B19" s="145" t="s">
        <v>98</v>
      </c>
      <c r="C19" s="146"/>
      <c r="D19" s="146"/>
      <c r="E19" s="146"/>
      <c r="F19" s="146"/>
      <c r="G19" s="146"/>
      <c r="H19" s="146">
        <v>624894</v>
      </c>
      <c r="I19" s="147">
        <f t="shared" si="0"/>
        <v>624894</v>
      </c>
    </row>
    <row r="20" spans="2:9">
      <c r="B20" s="145" t="s">
        <v>99</v>
      </c>
      <c r="C20" s="146">
        <v>1069432</v>
      </c>
      <c r="D20" s="146">
        <v>120683</v>
      </c>
      <c r="E20" s="146">
        <v>771643</v>
      </c>
      <c r="F20" s="146">
        <v>25152</v>
      </c>
      <c r="G20" s="146"/>
      <c r="H20" s="146">
        <v>35892792</v>
      </c>
      <c r="I20" s="147">
        <f t="shared" si="0"/>
        <v>37879702</v>
      </c>
    </row>
    <row r="21" spans="2:9">
      <c r="B21" s="145" t="s">
        <v>100</v>
      </c>
      <c r="C21" s="146"/>
      <c r="D21" s="146"/>
      <c r="E21" s="146"/>
      <c r="F21" s="146"/>
      <c r="G21" s="146"/>
      <c r="H21" s="146">
        <v>249118</v>
      </c>
      <c r="I21" s="147">
        <f t="shared" si="0"/>
        <v>249118</v>
      </c>
    </row>
    <row r="22" spans="2:9">
      <c r="B22" s="145" t="s">
        <v>101</v>
      </c>
      <c r="C22" s="146">
        <v>18957385</v>
      </c>
      <c r="D22" s="146">
        <v>2763588</v>
      </c>
      <c r="E22" s="146">
        <v>2133569</v>
      </c>
      <c r="F22" s="146">
        <v>6473375</v>
      </c>
      <c r="G22" s="146">
        <v>6038056</v>
      </c>
      <c r="H22" s="146">
        <v>78092582</v>
      </c>
      <c r="I22" s="147">
        <f t="shared" si="0"/>
        <v>114458555</v>
      </c>
    </row>
    <row r="23" spans="2:9">
      <c r="B23" s="145" t="s">
        <v>102</v>
      </c>
      <c r="C23" s="146"/>
      <c r="D23" s="146"/>
      <c r="E23" s="146"/>
      <c r="F23" s="146"/>
      <c r="G23" s="146"/>
      <c r="H23" s="146">
        <v>15491</v>
      </c>
      <c r="I23" s="147">
        <f t="shared" si="0"/>
        <v>15491</v>
      </c>
    </row>
    <row r="24" spans="2:9">
      <c r="B24" s="145" t="s">
        <v>103</v>
      </c>
      <c r="C24" s="146"/>
      <c r="D24" s="146"/>
      <c r="E24" s="146"/>
      <c r="F24" s="146"/>
      <c r="G24" s="146"/>
      <c r="H24" s="146">
        <v>20780668</v>
      </c>
      <c r="I24" s="147">
        <f t="shared" si="0"/>
        <v>20780668</v>
      </c>
    </row>
    <row r="25" spans="2:9">
      <c r="B25" s="145" t="s">
        <v>104</v>
      </c>
      <c r="C25" s="146">
        <v>2734457</v>
      </c>
      <c r="D25" s="146">
        <v>59858</v>
      </c>
      <c r="E25" s="146"/>
      <c r="F25" s="146"/>
      <c r="G25" s="146">
        <v>116785</v>
      </c>
      <c r="H25" s="146">
        <v>12395261</v>
      </c>
      <c r="I25" s="147">
        <f t="shared" si="0"/>
        <v>15306361</v>
      </c>
    </row>
    <row r="26" spans="2:9">
      <c r="B26" s="145" t="s">
        <v>117</v>
      </c>
      <c r="C26" s="146">
        <v>557514</v>
      </c>
      <c r="D26" s="146">
        <v>44104</v>
      </c>
      <c r="E26" s="146"/>
      <c r="F26" s="146"/>
      <c r="G26" s="146"/>
      <c r="H26" s="146">
        <v>1330780</v>
      </c>
      <c r="I26" s="147">
        <f t="shared" si="0"/>
        <v>1932398</v>
      </c>
    </row>
    <row r="27" spans="2:9">
      <c r="B27" s="145" t="s">
        <v>35</v>
      </c>
      <c r="C27" s="146"/>
      <c r="D27" s="146"/>
      <c r="E27" s="146"/>
      <c r="F27" s="146"/>
      <c r="G27" s="146"/>
      <c r="H27" s="146">
        <v>46474</v>
      </c>
      <c r="I27" s="147">
        <f t="shared" si="0"/>
        <v>46474</v>
      </c>
    </row>
    <row r="28" spans="2:9">
      <c r="B28" s="145" t="s">
        <v>105</v>
      </c>
      <c r="C28" s="146">
        <v>47016</v>
      </c>
      <c r="D28" s="146"/>
      <c r="E28" s="146">
        <v>66226</v>
      </c>
      <c r="F28" s="146"/>
      <c r="G28" s="146">
        <v>32529</v>
      </c>
      <c r="H28" s="146">
        <v>97834</v>
      </c>
      <c r="I28" s="147">
        <f t="shared" si="0"/>
        <v>243605</v>
      </c>
    </row>
    <row r="29" spans="2:9">
      <c r="B29" s="145" t="s">
        <v>82</v>
      </c>
      <c r="C29" s="146">
        <v>107899</v>
      </c>
      <c r="D29" s="146"/>
      <c r="E29" s="146"/>
      <c r="F29" s="146"/>
      <c r="G29" s="146">
        <v>80697</v>
      </c>
      <c r="H29" s="146">
        <v>9382253</v>
      </c>
      <c r="I29" s="147">
        <f t="shared" si="0"/>
        <v>9570849</v>
      </c>
    </row>
    <row r="30" spans="2:9">
      <c r="B30" s="145" t="s">
        <v>106</v>
      </c>
      <c r="C30" s="146"/>
      <c r="D30" s="146"/>
      <c r="E30" s="146"/>
      <c r="F30" s="146"/>
      <c r="G30" s="146"/>
      <c r="H30" s="146">
        <v>59131</v>
      </c>
      <c r="I30" s="147">
        <f t="shared" si="0"/>
        <v>59131</v>
      </c>
    </row>
    <row r="31" spans="2:9">
      <c r="B31" s="145" t="s">
        <v>107</v>
      </c>
      <c r="C31" s="146">
        <v>496375</v>
      </c>
      <c r="D31" s="146">
        <v>25228</v>
      </c>
      <c r="E31" s="146"/>
      <c r="F31" s="146">
        <v>889736</v>
      </c>
      <c r="G31" s="146">
        <v>1234264</v>
      </c>
      <c r="H31" s="146">
        <v>3854419</v>
      </c>
      <c r="I31" s="147">
        <f t="shared" si="0"/>
        <v>6500022</v>
      </c>
    </row>
    <row r="32" spans="2:9">
      <c r="B32" s="145" t="s">
        <v>108</v>
      </c>
      <c r="C32" s="146">
        <v>28908322</v>
      </c>
      <c r="D32" s="146">
        <v>2934238</v>
      </c>
      <c r="E32" s="146">
        <v>2294383</v>
      </c>
      <c r="F32" s="146">
        <v>8291910</v>
      </c>
      <c r="G32" s="146">
        <v>5606325</v>
      </c>
      <c r="H32" s="146">
        <v>178687546</v>
      </c>
      <c r="I32" s="147">
        <f t="shared" si="0"/>
        <v>226722724</v>
      </c>
    </row>
    <row r="33" spans="2:11">
      <c r="B33" s="145" t="s">
        <v>109</v>
      </c>
      <c r="C33" s="146">
        <v>27198482</v>
      </c>
      <c r="D33" s="146">
        <v>1612236</v>
      </c>
      <c r="E33" s="146">
        <v>3636498</v>
      </c>
      <c r="F33" s="146">
        <v>1685259</v>
      </c>
      <c r="G33" s="146">
        <v>475727</v>
      </c>
      <c r="H33" s="146">
        <v>156547887</v>
      </c>
      <c r="I33" s="147">
        <f t="shared" si="0"/>
        <v>191156089</v>
      </c>
    </row>
    <row r="34" spans="2:11">
      <c r="B34" s="145" t="s">
        <v>36</v>
      </c>
      <c r="C34" s="146">
        <v>2491396</v>
      </c>
      <c r="D34" s="146"/>
      <c r="E34" s="146"/>
      <c r="F34" s="146">
        <v>1852374</v>
      </c>
      <c r="G34" s="146"/>
      <c r="H34" s="146">
        <v>10914242</v>
      </c>
      <c r="I34" s="147">
        <f t="shared" si="0"/>
        <v>15258012</v>
      </c>
    </row>
    <row r="35" spans="2:11">
      <c r="B35" s="145" t="s">
        <v>110</v>
      </c>
      <c r="C35" s="146"/>
      <c r="D35" s="146"/>
      <c r="E35" s="146"/>
      <c r="F35" s="146"/>
      <c r="G35" s="146"/>
      <c r="H35" s="146">
        <v>22842256</v>
      </c>
      <c r="I35" s="147">
        <f t="shared" si="0"/>
        <v>22842256</v>
      </c>
    </row>
    <row r="36" spans="2:11">
      <c r="B36" s="145" t="s">
        <v>37</v>
      </c>
      <c r="C36" s="146">
        <v>306109</v>
      </c>
      <c r="D36" s="146">
        <v>286979</v>
      </c>
      <c r="E36" s="146">
        <v>57369</v>
      </c>
      <c r="F36" s="146"/>
      <c r="G36" s="146">
        <v>338684</v>
      </c>
      <c r="H36" s="146">
        <v>8142548</v>
      </c>
      <c r="I36" s="147">
        <f t="shared" si="0"/>
        <v>9131689</v>
      </c>
    </row>
    <row r="37" spans="2:11">
      <c r="B37" s="145" t="s">
        <v>111</v>
      </c>
      <c r="C37" s="146">
        <v>32051497</v>
      </c>
      <c r="D37" s="146">
        <v>4152336</v>
      </c>
      <c r="E37" s="146">
        <v>4750824</v>
      </c>
      <c r="F37" s="146">
        <v>3557549</v>
      </c>
      <c r="G37" s="146">
        <v>4368596</v>
      </c>
      <c r="H37" s="146">
        <v>145845612</v>
      </c>
      <c r="I37" s="147">
        <f t="shared" si="0"/>
        <v>194726414</v>
      </c>
    </row>
    <row r="38" spans="2:11">
      <c r="B38" s="145" t="s">
        <v>118</v>
      </c>
      <c r="C38" s="146">
        <v>1233838</v>
      </c>
      <c r="D38" s="146"/>
      <c r="E38" s="146"/>
      <c r="F38" s="146">
        <v>22052</v>
      </c>
      <c r="G38" s="146"/>
      <c r="H38" s="146">
        <v>2585570</v>
      </c>
      <c r="I38" s="147">
        <f t="shared" si="0"/>
        <v>3841460</v>
      </c>
    </row>
    <row r="39" spans="2:11">
      <c r="B39" s="145" t="s">
        <v>112</v>
      </c>
      <c r="C39" s="146">
        <v>401419</v>
      </c>
      <c r="D39" s="146">
        <v>155682</v>
      </c>
      <c r="E39" s="146">
        <v>695725</v>
      </c>
      <c r="F39" s="146">
        <v>1059037</v>
      </c>
      <c r="G39" s="146">
        <v>27051</v>
      </c>
      <c r="H39" s="146">
        <v>35770906</v>
      </c>
      <c r="I39" s="147">
        <f t="shared" si="0"/>
        <v>38109820</v>
      </c>
    </row>
    <row r="40" spans="2:11">
      <c r="B40" s="145" t="s">
        <v>113</v>
      </c>
      <c r="C40" s="146">
        <v>548884</v>
      </c>
      <c r="D40" s="146"/>
      <c r="E40" s="146"/>
      <c r="F40" s="146"/>
      <c r="G40" s="146"/>
      <c r="H40" s="146">
        <v>2378990</v>
      </c>
      <c r="I40" s="147">
        <f>+SUM(C40:H40)</f>
        <v>2927874</v>
      </c>
    </row>
    <row r="41" spans="2:11">
      <c r="B41" s="145" t="s">
        <v>114</v>
      </c>
      <c r="C41" s="146">
        <v>55876514</v>
      </c>
      <c r="D41" s="146">
        <v>4089575</v>
      </c>
      <c r="E41" s="146">
        <v>18778554</v>
      </c>
      <c r="F41" s="146">
        <v>12976769</v>
      </c>
      <c r="G41" s="146">
        <v>5244108</v>
      </c>
      <c r="H41" s="146">
        <v>167336678</v>
      </c>
      <c r="I41" s="147">
        <f t="shared" si="0"/>
        <v>264302198</v>
      </c>
    </row>
    <row r="42" spans="2:11">
      <c r="B42" s="145" t="s">
        <v>115</v>
      </c>
      <c r="C42" s="146">
        <v>59779996</v>
      </c>
      <c r="D42" s="146">
        <v>14900755</v>
      </c>
      <c r="E42" s="146">
        <v>6279403</v>
      </c>
      <c r="F42" s="146">
        <v>19801311</v>
      </c>
      <c r="G42" s="146">
        <v>10665590</v>
      </c>
      <c r="H42" s="146">
        <v>296090639</v>
      </c>
      <c r="I42" s="147">
        <f t="shared" si="0"/>
        <v>407517694</v>
      </c>
    </row>
    <row r="43" spans="2:11">
      <c r="B43" s="145" t="s">
        <v>116</v>
      </c>
      <c r="C43" s="146"/>
      <c r="D43" s="146"/>
      <c r="E43" s="146"/>
      <c r="F43" s="146"/>
      <c r="G43" s="146"/>
      <c r="H43" s="146">
        <v>887185</v>
      </c>
      <c r="I43" s="147">
        <f t="shared" si="0"/>
        <v>887185</v>
      </c>
    </row>
    <row r="44" spans="2:11" ht="13.5" customHeight="1">
      <c r="B44" s="145" t="s">
        <v>220</v>
      </c>
      <c r="C44" s="146">
        <v>983558</v>
      </c>
      <c r="D44" s="146"/>
      <c r="E44" s="146"/>
      <c r="F44" s="146">
        <v>176416</v>
      </c>
      <c r="G44" s="146"/>
      <c r="H44" s="146">
        <v>45021</v>
      </c>
      <c r="I44" s="147">
        <f t="shared" si="0"/>
        <v>1204995</v>
      </c>
    </row>
    <row r="45" spans="2:11" ht="17.25" customHeight="1">
      <c r="B45" s="192" t="s">
        <v>32</v>
      </c>
      <c r="C45" s="193">
        <f>SUM(C8:C44)</f>
        <v>243753230</v>
      </c>
      <c r="D45" s="193">
        <f t="shared" ref="D45:I45" si="1">SUM(D8:D44)</f>
        <v>33560029</v>
      </c>
      <c r="E45" s="193">
        <f t="shared" si="1"/>
        <v>39782558</v>
      </c>
      <c r="F45" s="193">
        <f t="shared" si="1"/>
        <v>56810940</v>
      </c>
      <c r="G45" s="193">
        <f t="shared" si="1"/>
        <v>34985600</v>
      </c>
      <c r="H45" s="193">
        <f>SUM(H8:H44)</f>
        <v>1293960561</v>
      </c>
      <c r="I45" s="193">
        <f t="shared" si="1"/>
        <v>1702852918</v>
      </c>
      <c r="K45" s="52"/>
    </row>
  </sheetData>
  <autoFilter ref="B7:I7" xr:uid="{00000000-0009-0000-0000-000006000000}">
    <sortState xmlns:xlrd2="http://schemas.microsoft.com/office/spreadsheetml/2017/richdata2" ref="B8:I45">
      <sortCondition descending="1" ref="I7"/>
    </sortState>
  </autoFilter>
  <sortState xmlns:xlrd2="http://schemas.microsoft.com/office/spreadsheetml/2017/richdata2" ref="B8:I44">
    <sortCondition ref="I8:I44"/>
  </sortState>
  <mergeCells count="1">
    <mergeCell ref="B2:I5"/>
  </mergeCells>
  <conditionalFormatting sqref="B1">
    <cfRule type="duplicateValues" dxfId="9" priority="1"/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R235"/>
  <sheetViews>
    <sheetView showGridLines="0" topLeftCell="A93" zoomScale="60" zoomScaleNormal="60" workbookViewId="0">
      <selection activeCell="H97" sqref="H97"/>
    </sheetView>
  </sheetViews>
  <sheetFormatPr baseColWidth="10" defaultRowHeight="14.4" outlineLevelRow="1" outlineLevelCol="1"/>
  <cols>
    <col min="1" max="1" width="52.44140625" bestFit="1" customWidth="1"/>
    <col min="2" max="2" width="19.77734375" bestFit="1" customWidth="1"/>
    <col min="3" max="3" width="33.44140625" customWidth="1"/>
    <col min="4" max="4" width="12" customWidth="1"/>
    <col min="5" max="5" width="9.21875" customWidth="1"/>
    <col min="6" max="6" width="17.5546875" customWidth="1" outlineLevel="1"/>
    <col min="7" max="7" width="17.77734375" customWidth="1" outlineLevel="1"/>
    <col min="8" max="8" width="26.21875" bestFit="1" customWidth="1" outlineLevel="1"/>
    <col min="9" max="9" width="30.21875" bestFit="1" customWidth="1" outlineLevel="1"/>
    <col min="10" max="10" width="24.44140625" customWidth="1" outlineLevel="1"/>
    <col min="11" max="11" width="13.44140625" customWidth="1" outlineLevel="1"/>
    <col min="12" max="12" width="24" bestFit="1" customWidth="1"/>
    <col min="13" max="13" width="21" bestFit="1" customWidth="1"/>
    <col min="14" max="14" width="14.21875" bestFit="1" customWidth="1"/>
    <col min="15" max="15" width="11.44140625" bestFit="1" customWidth="1"/>
    <col min="16" max="16" width="10.5546875" bestFit="1" customWidth="1"/>
    <col min="17" max="17" width="24.5546875" customWidth="1"/>
    <col min="18" max="18" width="15.77734375" customWidth="1"/>
    <col min="19" max="20" width="10" customWidth="1"/>
    <col min="21" max="21" width="9.5546875" customWidth="1"/>
    <col min="22" max="22" width="10" customWidth="1"/>
    <col min="23" max="23" width="11.77734375" customWidth="1"/>
    <col min="24" max="25" width="10.5546875" customWidth="1"/>
    <col min="26" max="26" width="11.77734375" customWidth="1"/>
    <col min="27" max="40" width="9" customWidth="1"/>
    <col min="41" max="41" width="10.5546875" customWidth="1"/>
    <col min="42" max="42" width="9.5546875" customWidth="1"/>
    <col min="43" max="75" width="9" customWidth="1"/>
    <col min="76" max="76" width="10.5546875" customWidth="1"/>
    <col min="77" max="95" width="9" customWidth="1"/>
    <col min="96" max="96" width="10.5546875" customWidth="1"/>
    <col min="97" max="113" width="9" customWidth="1"/>
    <col min="114" max="114" width="10.5546875" customWidth="1"/>
    <col min="115" max="115" width="9.5546875" customWidth="1"/>
    <col min="116" max="131" width="9" customWidth="1"/>
    <col min="132" max="132" width="10.5546875" customWidth="1"/>
    <col min="133" max="152" width="9" customWidth="1"/>
    <col min="153" max="153" width="10.5546875" customWidth="1"/>
    <col min="154" max="173" width="9" customWidth="1"/>
    <col min="174" max="174" width="10.5546875" customWidth="1"/>
    <col min="175" max="193" width="9" customWidth="1"/>
    <col min="194" max="194" width="10.5546875" customWidth="1"/>
    <col min="195" max="212" width="9" customWidth="1"/>
    <col min="213" max="213" width="10.5546875" customWidth="1"/>
    <col min="214" max="232" width="9" customWidth="1"/>
    <col min="233" max="233" width="10.5546875" customWidth="1"/>
    <col min="234" max="249" width="9" customWidth="1"/>
    <col min="250" max="250" width="10.5546875" customWidth="1"/>
    <col min="251" max="267" width="9" customWidth="1"/>
    <col min="268" max="268" width="10.5546875" customWidth="1"/>
    <col min="269" max="289" width="9" customWidth="1"/>
    <col min="290" max="290" width="10.5546875" customWidth="1"/>
    <col min="291" max="308" width="9" customWidth="1"/>
    <col min="309" max="309" width="10.5546875" customWidth="1"/>
    <col min="310" max="327" width="9" customWidth="1"/>
    <col min="328" max="328" width="10.5546875" customWidth="1"/>
    <col min="329" max="349" width="9" customWidth="1"/>
    <col min="350" max="350" width="10.5546875" customWidth="1"/>
    <col min="351" max="369" width="9" customWidth="1"/>
    <col min="370" max="370" width="10.5546875" customWidth="1"/>
    <col min="371" max="371" width="11.77734375" bestFit="1" customWidth="1"/>
  </cols>
  <sheetData>
    <row r="1" spans="1:11">
      <c r="A1" s="343"/>
      <c r="B1" s="343"/>
      <c r="C1" s="343"/>
      <c r="D1" s="343"/>
      <c r="E1" s="343"/>
      <c r="F1" s="343"/>
      <c r="G1" s="343"/>
      <c r="H1" s="343"/>
      <c r="I1" s="343"/>
    </row>
    <row r="2" spans="1:11">
      <c r="A2" s="343" t="s">
        <v>49</v>
      </c>
      <c r="B2" s="343"/>
      <c r="C2" s="343"/>
      <c r="D2" s="343"/>
    </row>
    <row r="3" spans="1:11" ht="15" thickBot="1">
      <c r="A3" s="9" t="s">
        <v>50</v>
      </c>
      <c r="H3" s="81" t="s">
        <v>51</v>
      </c>
      <c r="I3" s="82">
        <f>+PROVISION!R9</f>
        <v>1153905731</v>
      </c>
      <c r="K3" s="5"/>
    </row>
    <row r="4" spans="1:11" outlineLevel="1">
      <c r="A4" s="345" t="s">
        <v>131</v>
      </c>
      <c r="B4" s="346"/>
      <c r="C4" s="346"/>
      <c r="D4" s="346"/>
      <c r="G4" s="22"/>
      <c r="H4" s="347" t="s">
        <v>52</v>
      </c>
      <c r="I4" s="347" t="s">
        <v>53</v>
      </c>
    </row>
    <row r="5" spans="1:11" ht="15" outlineLevel="1" thickBot="1">
      <c r="A5" s="85" t="s">
        <v>54</v>
      </c>
      <c r="B5" s="84">
        <f>SUM(B6:B11)</f>
        <v>179783051</v>
      </c>
      <c r="C5" s="85"/>
      <c r="D5" s="85"/>
      <c r="G5" s="22"/>
      <c r="H5" s="348"/>
      <c r="I5" s="348"/>
    </row>
    <row r="6" spans="1:11" ht="15" outlineLevel="1" thickBot="1">
      <c r="A6" s="19" t="s">
        <v>39</v>
      </c>
      <c r="B6" s="23">
        <v>13884054</v>
      </c>
      <c r="C6" s="24">
        <v>0.36344207816015062</v>
      </c>
      <c r="D6" s="25">
        <f t="shared" ref="D6:D11" si="0">+B6*C6</f>
        <v>5046049.4390477519</v>
      </c>
      <c r="G6" s="73" t="s">
        <v>55</v>
      </c>
      <c r="H6" s="26">
        <f>+D12</f>
        <v>57831458.452896513</v>
      </c>
      <c r="I6" s="26">
        <f>+$I$3-H6</f>
        <v>1096074272.5471034</v>
      </c>
    </row>
    <row r="7" spans="1:11" ht="15" outlineLevel="1" thickBot="1">
      <c r="A7" s="19" t="s">
        <v>40</v>
      </c>
      <c r="B7" s="23">
        <v>19305538</v>
      </c>
      <c r="C7" s="24">
        <v>0.36344207816015062</v>
      </c>
      <c r="D7" s="25">
        <f t="shared" si="0"/>
        <v>7016444.8507197574</v>
      </c>
      <c r="G7" s="73" t="s">
        <v>81</v>
      </c>
      <c r="H7" s="26"/>
      <c r="I7" s="26"/>
    </row>
    <row r="8" spans="1:11" ht="15" outlineLevel="1" thickBot="1">
      <c r="A8" s="19" t="s">
        <v>42</v>
      </c>
      <c r="B8" s="23">
        <v>39011829</v>
      </c>
      <c r="C8" s="24">
        <v>0.36344207816015062</v>
      </c>
      <c r="D8" s="25">
        <f t="shared" si="0"/>
        <v>14178540.20458843</v>
      </c>
      <c r="G8" s="73" t="s">
        <v>90</v>
      </c>
      <c r="H8" s="26"/>
      <c r="I8" s="26"/>
    </row>
    <row r="9" spans="1:11" ht="15" outlineLevel="1" thickBot="1">
      <c r="A9" s="19" t="s">
        <v>44</v>
      </c>
      <c r="B9" s="23">
        <v>45597058</v>
      </c>
      <c r="C9" s="24">
        <v>0.36344207816015062</v>
      </c>
      <c r="D9" s="25">
        <f t="shared" si="0"/>
        <v>16571889.51750892</v>
      </c>
      <c r="G9" s="73" t="s">
        <v>119</v>
      </c>
      <c r="H9" s="26"/>
      <c r="I9" s="26"/>
    </row>
    <row r="10" spans="1:11" ht="15" outlineLevel="1" thickBot="1">
      <c r="A10" s="19" t="s">
        <v>46</v>
      </c>
      <c r="B10" s="23">
        <v>56717772</v>
      </c>
      <c r="C10" s="24">
        <v>0.24229471877343373</v>
      </c>
      <c r="D10" s="25">
        <f t="shared" si="0"/>
        <v>13742416.616195735</v>
      </c>
      <c r="G10" s="73" t="s">
        <v>130</v>
      </c>
      <c r="H10" s="26"/>
      <c r="I10" s="26"/>
    </row>
    <row r="11" spans="1:11" ht="15" outlineLevel="1" thickBot="1">
      <c r="A11" s="19" t="s">
        <v>48</v>
      </c>
      <c r="B11" s="23">
        <v>5266800</v>
      </c>
      <c r="C11" s="24">
        <v>0.24229471877343373</v>
      </c>
      <c r="D11" s="25">
        <f t="shared" si="0"/>
        <v>1276117.8248359207</v>
      </c>
      <c r="G11" s="73" t="s">
        <v>133</v>
      </c>
      <c r="H11" s="26"/>
      <c r="I11" s="26"/>
    </row>
    <row r="12" spans="1:11" ht="15" thickBot="1">
      <c r="A12" s="349" t="s">
        <v>56</v>
      </c>
      <c r="B12" s="349"/>
      <c r="C12" s="349"/>
      <c r="D12" s="72">
        <f>SUM(D6:D11)</f>
        <v>57831458.452896513</v>
      </c>
      <c r="E12" s="88"/>
      <c r="F12" s="27"/>
      <c r="G12" s="73" t="s">
        <v>135</v>
      </c>
      <c r="H12" s="26"/>
      <c r="I12" s="26"/>
    </row>
    <row r="13" spans="1:11" ht="15" thickBot="1">
      <c r="E13" s="88"/>
      <c r="G13" s="73" t="s">
        <v>140</v>
      </c>
      <c r="H13" s="26"/>
      <c r="I13" s="26"/>
    </row>
    <row r="14" spans="1:11" ht="15" thickBot="1">
      <c r="A14" s="343" t="s">
        <v>125</v>
      </c>
      <c r="B14" s="343"/>
      <c r="C14" s="343"/>
      <c r="D14" s="343"/>
      <c r="E14" s="88"/>
      <c r="G14" s="73" t="s">
        <v>180</v>
      </c>
      <c r="H14" s="26"/>
      <c r="I14" s="26"/>
    </row>
    <row r="15" spans="1:11" ht="15" thickBot="1">
      <c r="A15" s="135"/>
      <c r="B15" s="135"/>
      <c r="C15" s="135"/>
      <c r="D15" s="135"/>
      <c r="E15" s="88"/>
      <c r="G15" s="73" t="s">
        <v>181</v>
      </c>
      <c r="H15" s="26"/>
      <c r="I15" s="26"/>
    </row>
    <row r="16" spans="1:11" ht="15" outlineLevel="1" thickBot="1">
      <c r="G16" s="73" t="s">
        <v>182</v>
      </c>
      <c r="H16" s="26"/>
      <c r="I16" s="26"/>
    </row>
    <row r="17" spans="1:9" ht="14.1" customHeight="1" outlineLevel="1" thickBot="1">
      <c r="A17" s="83" t="s">
        <v>57</v>
      </c>
      <c r="B17" s="83" t="s">
        <v>58</v>
      </c>
      <c r="C17" s="83" t="s">
        <v>59</v>
      </c>
      <c r="D17" s="83" t="s">
        <v>60</v>
      </c>
      <c r="G17" s="73" t="s">
        <v>183</v>
      </c>
      <c r="H17" s="26"/>
      <c r="I17" s="26"/>
    </row>
    <row r="18" spans="1:9" outlineLevel="1">
      <c r="A18" s="19"/>
      <c r="B18" s="23"/>
      <c r="C18" s="89"/>
      <c r="D18" s="23"/>
      <c r="G18" s="27"/>
    </row>
    <row r="19" spans="1:9" outlineLevel="1">
      <c r="A19" s="19"/>
      <c r="B19" s="23"/>
      <c r="C19" s="89"/>
      <c r="D19" s="23"/>
      <c r="H19" s="344" t="s">
        <v>38</v>
      </c>
      <c r="I19" s="344"/>
    </row>
    <row r="20" spans="1:9" outlineLevel="1">
      <c r="A20" s="19"/>
      <c r="B20" s="23"/>
      <c r="C20" s="89"/>
      <c r="D20" s="23"/>
      <c r="H20" s="21" t="s">
        <v>39</v>
      </c>
      <c r="I20" s="21" t="s">
        <v>30</v>
      </c>
    </row>
    <row r="21" spans="1:9" outlineLevel="1">
      <c r="A21" s="19"/>
      <c r="B21" s="23"/>
      <c r="C21" s="89"/>
      <c r="D21" s="23"/>
      <c r="H21" s="21" t="s">
        <v>40</v>
      </c>
      <c r="I21" s="21" t="s">
        <v>41</v>
      </c>
    </row>
    <row r="22" spans="1:9" outlineLevel="1">
      <c r="A22" s="19"/>
      <c r="B22" s="23"/>
      <c r="C22" s="89"/>
      <c r="D22" s="23"/>
      <c r="H22" s="21" t="s">
        <v>42</v>
      </c>
      <c r="I22" s="21" t="s">
        <v>43</v>
      </c>
    </row>
    <row r="23" spans="1:9" outlineLevel="1">
      <c r="A23" s="19"/>
      <c r="B23" s="23"/>
      <c r="C23" s="28"/>
      <c r="D23" s="23"/>
      <c r="H23" s="21" t="s">
        <v>44</v>
      </c>
      <c r="I23" s="21" t="s">
        <v>45</v>
      </c>
    </row>
    <row r="24" spans="1:9" ht="16.2">
      <c r="A24" s="74" t="s">
        <v>24</v>
      </c>
      <c r="B24" s="75">
        <f>+SUM(B19:B23)</f>
        <v>0</v>
      </c>
      <c r="C24" s="76"/>
      <c r="D24" s="77">
        <f>+SUM(D19:D23)</f>
        <v>0</v>
      </c>
      <c r="H24" s="19" t="s">
        <v>46</v>
      </c>
      <c r="I24" s="19" t="s">
        <v>47</v>
      </c>
    </row>
    <row r="25" spans="1:9">
      <c r="H25" s="19" t="s">
        <v>48</v>
      </c>
      <c r="I25" s="19" t="s">
        <v>31</v>
      </c>
    </row>
    <row r="26" spans="1:9">
      <c r="A26" s="343" t="s">
        <v>124</v>
      </c>
      <c r="B26" s="343"/>
      <c r="C26" s="343"/>
      <c r="D26" s="343"/>
    </row>
    <row r="27" spans="1:9" outlineLevel="1"/>
    <row r="28" spans="1:9" ht="43.5" customHeight="1" outlineLevel="1">
      <c r="A28" s="78" t="s">
        <v>57</v>
      </c>
      <c r="B28" s="78" t="s">
        <v>58</v>
      </c>
      <c r="C28" s="83" t="s">
        <v>59</v>
      </c>
      <c r="D28" s="83" t="s">
        <v>60</v>
      </c>
      <c r="E28" s="83" t="s">
        <v>159</v>
      </c>
      <c r="F28" s="96"/>
    </row>
    <row r="29" spans="1:9" outlineLevel="1">
      <c r="A29" s="19" t="s">
        <v>115</v>
      </c>
      <c r="B29" s="101">
        <f>F29-IFERROR(VLOOKUP(A29,'Resumen General x Edades'!D:E,2,0),0)</f>
        <v>334380218</v>
      </c>
      <c r="C29" s="31">
        <v>0.9</v>
      </c>
      <c r="D29" s="99">
        <f t="shared" ref="D29:D59" si="1">+B29*C29</f>
        <v>300942196.19999999</v>
      </c>
      <c r="E29" t="str">
        <f>IFERROR(VLOOKUP(A29,$I$37:$I$49,1,0)," ")</f>
        <v>SANITAS</v>
      </c>
      <c r="F29" s="202">
        <v>335246885</v>
      </c>
    </row>
    <row r="30" spans="1:9" outlineLevel="1">
      <c r="A30" s="19" t="s">
        <v>108</v>
      </c>
      <c r="B30" s="101">
        <f>F30-IFERROR(VLOOKUP(A30,'Resumen General x Edades'!D:E,2,0),0)</f>
        <v>201087033</v>
      </c>
      <c r="C30" s="31">
        <v>0.9</v>
      </c>
      <c r="D30" s="99">
        <f t="shared" si="1"/>
        <v>180978329.70000002</v>
      </c>
      <c r="E30" t="str">
        <f t="shared" ref="E30:E59" si="2">IFERROR(VLOOKUP(A30,$I$37:$I$49,1,0)," ")</f>
        <v>EPS SURA (ANTES SUSALUD)</v>
      </c>
      <c r="F30" s="202">
        <v>201087033</v>
      </c>
    </row>
    <row r="31" spans="1:9" outlineLevel="1">
      <c r="A31" s="19" t="s">
        <v>114</v>
      </c>
      <c r="B31" s="101">
        <f>F31-IFERROR(VLOOKUP(A31,'Resumen General x Edades'!D:E,2,0),0)</f>
        <v>105723398</v>
      </c>
      <c r="C31" s="31">
        <v>0.9</v>
      </c>
      <c r="D31" s="99">
        <f t="shared" si="1"/>
        <v>95151058.200000003</v>
      </c>
      <c r="E31" t="str">
        <f t="shared" si="2"/>
        <v xml:space="preserve"> </v>
      </c>
      <c r="F31" s="202">
        <v>105723398</v>
      </c>
      <c r="G31" s="200"/>
      <c r="H31" s="96"/>
    </row>
    <row r="32" spans="1:9" outlineLevel="1">
      <c r="A32" s="19" t="s">
        <v>109</v>
      </c>
      <c r="B32" s="101">
        <f>F32-IFERROR(VLOOKUP(A32,'Resumen General x Edades'!D:E,2,0),0)</f>
        <v>163758425</v>
      </c>
      <c r="C32" s="31">
        <v>0.9</v>
      </c>
      <c r="D32" s="99">
        <f t="shared" si="1"/>
        <v>147382582.5</v>
      </c>
      <c r="E32" t="str">
        <f t="shared" si="2"/>
        <v>FAMISANAR</v>
      </c>
      <c r="F32" s="202">
        <v>163796244</v>
      </c>
      <c r="G32" s="173"/>
      <c r="H32" s="88"/>
    </row>
    <row r="33" spans="1:9" outlineLevel="1">
      <c r="A33" s="19" t="s">
        <v>111</v>
      </c>
      <c r="B33" s="101">
        <f>F33-IFERROR(VLOOKUP(A33,'Resumen General x Edades'!D:E,2,0),0)</f>
        <v>169352181</v>
      </c>
      <c r="C33" s="31">
        <v>0.9</v>
      </c>
      <c r="D33" s="99">
        <f t="shared" si="1"/>
        <v>152416962.90000001</v>
      </c>
      <c r="E33" t="str">
        <f t="shared" si="2"/>
        <v>NUEVA E.P.S.</v>
      </c>
      <c r="F33" s="202">
        <v>170002181</v>
      </c>
      <c r="G33" s="173"/>
      <c r="H33" s="88"/>
    </row>
    <row r="34" spans="1:9" outlineLevel="1">
      <c r="A34" s="19" t="s">
        <v>101</v>
      </c>
      <c r="B34" s="101">
        <f>F34-IFERROR(VLOOKUP(A34,'Resumen General x Edades'!D:E,2,0),0)</f>
        <v>98554067</v>
      </c>
      <c r="C34" s="31">
        <v>0.9</v>
      </c>
      <c r="D34" s="99">
        <f t="shared" si="1"/>
        <v>88698660.299999997</v>
      </c>
      <c r="E34" t="str">
        <f t="shared" si="2"/>
        <v>COMPENSAR</v>
      </c>
      <c r="F34" s="202">
        <v>107591423</v>
      </c>
      <c r="G34" s="173"/>
      <c r="H34" s="88"/>
    </row>
    <row r="35" spans="1:9" outlineLevel="1">
      <c r="A35" s="29" t="s">
        <v>91</v>
      </c>
      <c r="B35" s="101">
        <f>F35-IFERROR(VLOOKUP(A35,'Resumen General x Edades'!D:E,2,0),0)</f>
        <v>38528935</v>
      </c>
      <c r="C35" s="31">
        <v>0.9</v>
      </c>
      <c r="D35" s="99">
        <f t="shared" si="1"/>
        <v>34676041.5</v>
      </c>
      <c r="E35" t="str">
        <f t="shared" si="2"/>
        <v xml:space="preserve"> </v>
      </c>
      <c r="F35" s="202">
        <v>38528935</v>
      </c>
      <c r="G35" s="173"/>
      <c r="H35" s="88"/>
    </row>
    <row r="36" spans="1:9" outlineLevel="1">
      <c r="A36" s="19" t="s">
        <v>112</v>
      </c>
      <c r="B36" s="101">
        <f>F36-IFERROR(VLOOKUP(A36,'Resumen General x Edades'!D:E,2,0),0)</f>
        <v>33212106</v>
      </c>
      <c r="C36" s="31">
        <v>0.9</v>
      </c>
      <c r="D36" s="30">
        <f t="shared" si="1"/>
        <v>29890895.400000002</v>
      </c>
      <c r="E36" t="str">
        <f t="shared" si="2"/>
        <v xml:space="preserve"> </v>
      </c>
      <c r="F36" s="202">
        <v>33212106</v>
      </c>
      <c r="G36" s="173"/>
      <c r="H36" s="88"/>
    </row>
    <row r="37" spans="1:9" outlineLevel="1">
      <c r="A37" s="19" t="s">
        <v>99</v>
      </c>
      <c r="B37" s="101">
        <f>F37-IFERROR(VLOOKUP(A37,'Resumen General x Edades'!D:E,2,0),0)</f>
        <v>33252061</v>
      </c>
      <c r="C37" s="31">
        <v>0.9</v>
      </c>
      <c r="D37" s="30">
        <f t="shared" si="1"/>
        <v>29926854.900000002</v>
      </c>
      <c r="E37" t="str">
        <f t="shared" si="2"/>
        <v xml:space="preserve"> </v>
      </c>
      <c r="F37" s="202">
        <v>33299511</v>
      </c>
      <c r="G37" s="173"/>
      <c r="H37">
        <v>8600669427</v>
      </c>
      <c r="I37" s="133" t="s">
        <v>101</v>
      </c>
    </row>
    <row r="38" spans="1:9" outlineLevel="1">
      <c r="A38" s="19" t="s">
        <v>110</v>
      </c>
      <c r="B38" s="101">
        <f>F38-IFERROR(VLOOKUP(A38,'Resumen General x Edades'!D:E,2,0),0)</f>
        <v>21984063</v>
      </c>
      <c r="C38" s="31">
        <v>0.9</v>
      </c>
      <c r="D38" s="30">
        <f t="shared" si="1"/>
        <v>19785656.699999999</v>
      </c>
      <c r="E38" t="str">
        <f t="shared" si="2"/>
        <v>MEDIMAS EPS</v>
      </c>
      <c r="F38" s="202">
        <v>21984063</v>
      </c>
      <c r="G38" s="173"/>
      <c r="H38">
        <v>8140003371</v>
      </c>
      <c r="I38" s="133" t="s">
        <v>82</v>
      </c>
    </row>
    <row r="39" spans="1:9" outlineLevel="1">
      <c r="A39" s="19" t="s">
        <v>103</v>
      </c>
      <c r="B39" s="101">
        <f>F39-IFERROR(VLOOKUP(A39,'Resumen General x Edades'!D:E,2,0),0)</f>
        <v>19999911</v>
      </c>
      <c r="C39" s="31">
        <v>0.9</v>
      </c>
      <c r="D39" s="30">
        <f t="shared" si="1"/>
        <v>17999919.900000002</v>
      </c>
      <c r="E39" t="str">
        <f t="shared" si="2"/>
        <v>COOMEVA</v>
      </c>
      <c r="F39" s="202">
        <v>19999911</v>
      </c>
      <c r="G39" s="173"/>
      <c r="H39">
        <v>8000887022</v>
      </c>
      <c r="I39" s="133" t="s">
        <v>108</v>
      </c>
    </row>
    <row r="40" spans="1:9" outlineLevel="1">
      <c r="A40" s="19" t="s">
        <v>95</v>
      </c>
      <c r="B40" s="101">
        <f>F40-IFERROR(VLOOKUP(A40,'Resumen General x Edades'!D:E,2,0),0)</f>
        <v>173030</v>
      </c>
      <c r="C40" s="31">
        <v>0.9</v>
      </c>
      <c r="D40" s="30">
        <f t="shared" si="1"/>
        <v>155727</v>
      </c>
      <c r="E40" t="str">
        <f t="shared" si="2"/>
        <v xml:space="preserve"> </v>
      </c>
      <c r="F40" s="202">
        <v>13475253</v>
      </c>
      <c r="G40" s="173"/>
      <c r="H40">
        <v>8300035647</v>
      </c>
      <c r="I40" s="133" t="s">
        <v>109</v>
      </c>
    </row>
    <row r="41" spans="1:9" outlineLevel="1">
      <c r="A41" s="19" t="s">
        <v>36</v>
      </c>
      <c r="B41" s="101">
        <f>F41-IFERROR(VLOOKUP(A41,'Resumen General x Edades'!D:E,2,0),0)</f>
        <v>8238973</v>
      </c>
      <c r="C41" s="31">
        <v>0.9</v>
      </c>
      <c r="D41" s="30">
        <f t="shared" si="1"/>
        <v>7415075.7000000002</v>
      </c>
      <c r="E41" t="str">
        <f t="shared" si="2"/>
        <v xml:space="preserve"> </v>
      </c>
      <c r="F41" s="202">
        <v>8238973</v>
      </c>
      <c r="G41" s="173"/>
      <c r="H41">
        <v>8002514406</v>
      </c>
      <c r="I41" s="133" t="s">
        <v>115</v>
      </c>
    </row>
    <row r="42" spans="1:9" outlineLevel="1">
      <c r="A42" s="29" t="s">
        <v>104</v>
      </c>
      <c r="B42" s="101">
        <f>F42-IFERROR(VLOOKUP(A42,'Resumen General x Edades'!D:E,2,0),0)</f>
        <v>10880279</v>
      </c>
      <c r="C42" s="31">
        <v>0.9</v>
      </c>
      <c r="D42" s="30">
        <f t="shared" si="1"/>
        <v>9792251.0999999996</v>
      </c>
      <c r="E42" t="str">
        <f t="shared" si="2"/>
        <v xml:space="preserve"> </v>
      </c>
      <c r="F42" s="202">
        <v>11460279</v>
      </c>
      <c r="G42" s="173"/>
      <c r="H42">
        <v>9001562642</v>
      </c>
      <c r="I42" s="133" t="s">
        <v>111</v>
      </c>
    </row>
    <row r="43" spans="1:9" outlineLevel="1">
      <c r="A43" s="29" t="s">
        <v>82</v>
      </c>
      <c r="B43" s="101">
        <f>F43-IFERROR(VLOOKUP(A43,'Resumen General x Edades'!D:E,2,0),0)</f>
        <v>9533222</v>
      </c>
      <c r="C43" s="31">
        <v>0.9</v>
      </c>
      <c r="D43" s="30">
        <f t="shared" si="1"/>
        <v>8579899.8000000007</v>
      </c>
      <c r="E43" t="str">
        <f t="shared" si="2"/>
        <v>EMSSANAR</v>
      </c>
      <c r="F43" s="202">
        <v>9533222</v>
      </c>
      <c r="G43" s="173"/>
      <c r="I43" s="133" t="s">
        <v>110</v>
      </c>
    </row>
    <row r="44" spans="1:9" outlineLevel="1">
      <c r="A44" s="19" t="s">
        <v>93</v>
      </c>
      <c r="B44" s="101">
        <f>F44-IFERROR(VLOOKUP(A44,'Resumen General x Edades'!D:E,2,0),0)</f>
        <v>7867375</v>
      </c>
      <c r="C44" s="31">
        <v>0.9</v>
      </c>
      <c r="D44" s="30">
        <f t="shared" si="1"/>
        <v>7080637.5</v>
      </c>
      <c r="E44" t="str">
        <f t="shared" si="2"/>
        <v xml:space="preserve"> </v>
      </c>
      <c r="F44" s="202">
        <v>7867375</v>
      </c>
      <c r="G44" s="173"/>
      <c r="I44" s="133" t="s">
        <v>103</v>
      </c>
    </row>
    <row r="45" spans="1:9" ht="16.05" customHeight="1" outlineLevel="1">
      <c r="A45" s="19" t="s">
        <v>37</v>
      </c>
      <c r="B45" s="101">
        <f>F45-IFERROR(VLOOKUP(A45,'Resumen General x Edades'!D:E,2,0),0)</f>
        <v>7469083</v>
      </c>
      <c r="C45" s="31">
        <v>0.9</v>
      </c>
      <c r="D45" s="30">
        <f t="shared" si="1"/>
        <v>6722174.7000000002</v>
      </c>
      <c r="E45" t="str">
        <f t="shared" si="2"/>
        <v xml:space="preserve"> </v>
      </c>
      <c r="F45" s="202">
        <v>7469083</v>
      </c>
      <c r="G45" s="201"/>
      <c r="I45" s="19"/>
    </row>
    <row r="46" spans="1:9" outlineLevel="1">
      <c r="A46" s="19" t="s">
        <v>94</v>
      </c>
      <c r="B46" s="101">
        <f>F46-IFERROR(VLOOKUP(A46,'Resumen General x Edades'!D:E,2,0),0)</f>
        <v>-2686435</v>
      </c>
      <c r="C46" s="31">
        <v>0.9</v>
      </c>
      <c r="D46" s="30">
        <f t="shared" si="1"/>
        <v>-2417791.5</v>
      </c>
      <c r="E46" t="str">
        <f t="shared" si="2"/>
        <v xml:space="preserve"> </v>
      </c>
      <c r="F46" s="202">
        <v>2773565</v>
      </c>
      <c r="G46" s="173"/>
      <c r="I46" s="19"/>
    </row>
    <row r="47" spans="1:9" outlineLevel="1">
      <c r="A47" s="19" t="s">
        <v>113</v>
      </c>
      <c r="B47" s="101">
        <f>F47-IFERROR(VLOOKUP(A47,'Resumen General x Edades'!D:E,2,0),0)</f>
        <v>1342050</v>
      </c>
      <c r="C47" s="31">
        <v>0.9</v>
      </c>
      <c r="D47" s="30">
        <f t="shared" si="1"/>
        <v>1207845</v>
      </c>
      <c r="E47" t="str">
        <f t="shared" si="2"/>
        <v xml:space="preserve"> </v>
      </c>
      <c r="F47" s="202">
        <v>1342050</v>
      </c>
      <c r="G47" s="173"/>
      <c r="I47" s="19"/>
    </row>
    <row r="48" spans="1:9" outlineLevel="1">
      <c r="A48" s="19" t="s">
        <v>34</v>
      </c>
      <c r="B48" s="101">
        <f>F48-IFERROR(VLOOKUP(A48,'Resumen General x Edades'!D:E,2,0),0)</f>
        <v>888699</v>
      </c>
      <c r="C48" s="31">
        <v>0.9</v>
      </c>
      <c r="D48" s="30">
        <f t="shared" si="1"/>
        <v>799829.1</v>
      </c>
      <c r="E48" t="str">
        <f t="shared" si="2"/>
        <v xml:space="preserve"> </v>
      </c>
      <c r="F48" s="202">
        <v>888699</v>
      </c>
      <c r="G48" s="173"/>
      <c r="I48" s="133"/>
    </row>
    <row r="49" spans="1:9" outlineLevel="1">
      <c r="A49" s="19" t="s">
        <v>116</v>
      </c>
      <c r="B49" s="101">
        <f>F49-IFERROR(VLOOKUP(A49,'Resumen General x Edades'!D:E,2,0),0)</f>
        <v>853853</v>
      </c>
      <c r="C49" s="31">
        <v>0.9</v>
      </c>
      <c r="D49" s="30">
        <f t="shared" si="1"/>
        <v>768467.70000000007</v>
      </c>
      <c r="E49" t="str">
        <f t="shared" si="2"/>
        <v xml:space="preserve"> </v>
      </c>
      <c r="F49" s="202">
        <v>853853</v>
      </c>
      <c r="G49" s="173"/>
      <c r="I49" s="133"/>
    </row>
    <row r="50" spans="1:9" outlineLevel="1">
      <c r="A50" s="19" t="s">
        <v>98</v>
      </c>
      <c r="B50" s="101">
        <f>F50-IFERROR(VLOOKUP(A50,'Resumen General x Edades'!D:E,2,0),0)</f>
        <v>554813</v>
      </c>
      <c r="C50" s="31">
        <v>0.9</v>
      </c>
      <c r="D50" s="30">
        <f t="shared" si="1"/>
        <v>499331.7</v>
      </c>
      <c r="E50" t="str">
        <f t="shared" si="2"/>
        <v xml:space="preserve"> </v>
      </c>
      <c r="F50" s="202">
        <v>554813</v>
      </c>
      <c r="G50" s="173"/>
    </row>
    <row r="51" spans="1:9" outlineLevel="1">
      <c r="A51" s="19" t="s">
        <v>92</v>
      </c>
      <c r="B51" s="101">
        <f>F51-IFERROR(VLOOKUP(A51,'Resumen General x Edades'!D:E,2,0),0)</f>
        <v>1457312</v>
      </c>
      <c r="C51" s="31">
        <v>0.9</v>
      </c>
      <c r="D51" s="30">
        <f t="shared" si="1"/>
        <v>1311580.8</v>
      </c>
      <c r="E51" t="str">
        <f t="shared" si="2"/>
        <v xml:space="preserve"> </v>
      </c>
      <c r="F51" s="202">
        <v>1457312</v>
      </c>
      <c r="G51" s="173"/>
    </row>
    <row r="52" spans="1:9" outlineLevel="1">
      <c r="A52" s="19" t="s">
        <v>96</v>
      </c>
      <c r="B52" s="101">
        <f>F52-IFERROR(VLOOKUP(A52,'Resumen General x Edades'!D:E,2,0),0)</f>
        <v>402554</v>
      </c>
      <c r="C52" s="31">
        <v>0.9</v>
      </c>
      <c r="D52" s="30">
        <f t="shared" si="1"/>
        <v>362298.60000000003</v>
      </c>
      <c r="E52" t="str">
        <f t="shared" si="2"/>
        <v xml:space="preserve"> </v>
      </c>
      <c r="F52" s="202">
        <v>402554</v>
      </c>
      <c r="G52" s="173"/>
    </row>
    <row r="53" spans="1:9" outlineLevel="1">
      <c r="A53" s="19" t="s">
        <v>100</v>
      </c>
      <c r="B53" s="101">
        <f>F53-IFERROR(VLOOKUP(A53,'Resumen General x Edades'!D:E,2,0),0)</f>
        <v>239758</v>
      </c>
      <c r="C53" s="31">
        <v>0.9</v>
      </c>
      <c r="D53" s="30">
        <f t="shared" si="1"/>
        <v>215782.2</v>
      </c>
      <c r="E53" t="str">
        <f t="shared" si="2"/>
        <v xml:space="preserve"> </v>
      </c>
      <c r="F53" s="202">
        <v>239758</v>
      </c>
      <c r="G53" s="173"/>
    </row>
    <row r="54" spans="1:9" outlineLevel="1">
      <c r="A54" s="19" t="s">
        <v>105</v>
      </c>
      <c r="B54" s="101">
        <f>F54-IFERROR(VLOOKUP(A54,'Resumen General x Edades'!D:E,2,0),0)</f>
        <v>-7589</v>
      </c>
      <c r="C54" s="31">
        <v>0.9</v>
      </c>
      <c r="D54" s="30">
        <f t="shared" si="1"/>
        <v>-6830.1</v>
      </c>
      <c r="E54" t="str">
        <f t="shared" si="2"/>
        <v xml:space="preserve"> </v>
      </c>
      <c r="F54" s="202">
        <v>33649</v>
      </c>
      <c r="G54" s="173"/>
    </row>
    <row r="55" spans="1:9" outlineLevel="1">
      <c r="A55" s="19" t="s">
        <v>106</v>
      </c>
      <c r="B55" s="101">
        <f>F55-IFERROR(VLOOKUP(A55,'Resumen General x Edades'!D:E,2,0),0)</f>
        <v>56911</v>
      </c>
      <c r="C55" s="31">
        <v>0.9</v>
      </c>
      <c r="D55" s="30">
        <f t="shared" si="1"/>
        <v>51219.9</v>
      </c>
      <c r="E55" t="str">
        <f t="shared" si="2"/>
        <v xml:space="preserve"> </v>
      </c>
      <c r="F55" s="202">
        <v>56911</v>
      </c>
      <c r="G55" s="173"/>
    </row>
    <row r="56" spans="1:9" outlineLevel="1">
      <c r="A56" s="19" t="s">
        <v>35</v>
      </c>
      <c r="B56" s="101">
        <f>F56-IFERROR(VLOOKUP(A56,'Resumen General x Edades'!D:E,2,0),0)</f>
        <v>44728</v>
      </c>
      <c r="C56" s="31">
        <v>0.9</v>
      </c>
      <c r="D56" s="30">
        <f t="shared" si="1"/>
        <v>40255.200000000004</v>
      </c>
      <c r="E56" t="str">
        <f t="shared" si="2"/>
        <v xml:space="preserve"> </v>
      </c>
      <c r="F56" s="202">
        <v>44728</v>
      </c>
      <c r="G56" s="173"/>
    </row>
    <row r="57" spans="1:9" outlineLevel="1">
      <c r="A57" s="19" t="s">
        <v>97</v>
      </c>
      <c r="B57" s="101">
        <f>F57-IFERROR(VLOOKUP(A57,'Resumen General x Edades'!D:E,2,0),0)</f>
        <v>40637</v>
      </c>
      <c r="C57" s="31">
        <v>0.9</v>
      </c>
      <c r="D57" s="30">
        <f t="shared" si="1"/>
        <v>36573.300000000003</v>
      </c>
      <c r="E57" t="str">
        <f t="shared" si="2"/>
        <v xml:space="preserve"> </v>
      </c>
      <c r="F57" s="202">
        <v>40637</v>
      </c>
      <c r="G57" s="173"/>
    </row>
    <row r="58" spans="1:9" outlineLevel="1">
      <c r="A58" s="19" t="s">
        <v>136</v>
      </c>
      <c r="B58" s="101">
        <f>F58-IFERROR(VLOOKUP(A58,'Resumen General x Edades'!D:E,2,0),0)</f>
        <v>22151</v>
      </c>
      <c r="C58" s="31">
        <v>0.9</v>
      </c>
      <c r="D58" s="30">
        <f t="shared" si="1"/>
        <v>19935.900000000001</v>
      </c>
      <c r="E58" t="str">
        <f>IFERROR(VLOOKUP(A58,$I$37:$I$49,1,0)," ")</f>
        <v xml:space="preserve"> </v>
      </c>
      <c r="F58" s="202">
        <v>22151</v>
      </c>
      <c r="G58" s="173"/>
    </row>
    <row r="59" spans="1:9" outlineLevel="1">
      <c r="A59" s="19" t="s">
        <v>102</v>
      </c>
      <c r="B59" s="101">
        <f>F59-IFERROR(VLOOKUP(A59,'Resumen General x Edades'!D:E,2,0),0)</f>
        <v>14909</v>
      </c>
      <c r="C59" s="31">
        <v>0.9</v>
      </c>
      <c r="D59" s="30">
        <f t="shared" si="1"/>
        <v>13418.1</v>
      </c>
      <c r="E59" t="str">
        <f t="shared" si="2"/>
        <v xml:space="preserve"> </v>
      </c>
      <c r="F59" s="202">
        <v>14909</v>
      </c>
      <c r="G59" s="173"/>
    </row>
    <row r="60" spans="1:9" outlineLevel="1">
      <c r="A60" s="172" t="s">
        <v>107</v>
      </c>
      <c r="B60" s="101">
        <f>F60-IFERROR(VLOOKUP(A60,'Resumen General x Edades'!D:E,2,0),0)</f>
        <v>285355</v>
      </c>
      <c r="C60" s="31">
        <v>0.9</v>
      </c>
      <c r="D60" s="30">
        <f>+B60*C60</f>
        <v>256819.5</v>
      </c>
      <c r="F60" s="202">
        <v>285355</v>
      </c>
      <c r="G60" s="173"/>
    </row>
    <row r="61" spans="1:9" ht="16.2">
      <c r="A61" s="74" t="s">
        <v>61</v>
      </c>
      <c r="B61" s="79">
        <f>+SUM(B29:B60)</f>
        <v>1267504066</v>
      </c>
      <c r="C61" s="76">
        <v>0.9</v>
      </c>
      <c r="D61" s="80">
        <f>+SUM(D29:D60)</f>
        <v>1140753659.4000001</v>
      </c>
      <c r="E61" s="88"/>
      <c r="F61" s="88">
        <f>SUM(F29:F60)</f>
        <v>1297526819</v>
      </c>
      <c r="G61" s="173"/>
      <c r="H61" s="207"/>
      <c r="I61" s="207"/>
    </row>
    <row r="62" spans="1:9">
      <c r="B62" s="70"/>
      <c r="G62" s="173"/>
    </row>
    <row r="63" spans="1:9">
      <c r="A63" s="91"/>
      <c r="B63" s="91"/>
    </row>
    <row r="64" spans="1:9">
      <c r="A64" s="91"/>
      <c r="B64" s="91"/>
      <c r="C64" s="183" t="s">
        <v>126</v>
      </c>
      <c r="D64" s="32">
        <f>+D12</f>
        <v>57831458.452896513</v>
      </c>
      <c r="F64" s="5"/>
      <c r="G64" s="88"/>
    </row>
    <row r="65" spans="1:16">
      <c r="A65" s="91"/>
      <c r="B65" s="91"/>
      <c r="C65" s="183" t="s">
        <v>127</v>
      </c>
      <c r="D65" s="32">
        <f>+D24</f>
        <v>0</v>
      </c>
      <c r="F65" s="5"/>
    </row>
    <row r="66" spans="1:16">
      <c r="A66" s="91"/>
      <c r="B66" s="91"/>
      <c r="C66" s="183" t="s">
        <v>128</v>
      </c>
      <c r="D66" s="32">
        <f>+D61</f>
        <v>1140753659.4000001</v>
      </c>
      <c r="F66" s="5"/>
    </row>
    <row r="67" spans="1:16">
      <c r="B67" s="90"/>
      <c r="C67" s="183" t="s">
        <v>62</v>
      </c>
      <c r="D67" s="32">
        <f>+D12+D24+D61</f>
        <v>1198585117.8528967</v>
      </c>
      <c r="F67" s="5"/>
    </row>
    <row r="68" spans="1:16">
      <c r="C68" s="183" t="s">
        <v>63</v>
      </c>
      <c r="D68" s="32">
        <f>ROUND(I3,-3)</f>
        <v>1153906000</v>
      </c>
      <c r="F68" s="5"/>
    </row>
    <row r="69" spans="1:16">
      <c r="C69" s="183" t="s">
        <v>64</v>
      </c>
      <c r="D69" s="32">
        <f>ROUND(((D61*L71)+D12)-D68,-2)</f>
        <v>44679100</v>
      </c>
      <c r="F69" s="5"/>
    </row>
    <row r="70" spans="1:16">
      <c r="C70" s="183" t="s">
        <v>129</v>
      </c>
      <c r="D70" s="32">
        <f>+D68+D69</f>
        <v>1198585100</v>
      </c>
      <c r="E70" s="5"/>
      <c r="F70" s="5"/>
      <c r="I70" s="55"/>
      <c r="J70" s="93"/>
      <c r="K70" s="93"/>
    </row>
    <row r="71" spans="1:16">
      <c r="D71" s="5"/>
      <c r="F71" s="162">
        <v>0.595425909741923</v>
      </c>
      <c r="G71" s="162">
        <v>0.66002590974192332</v>
      </c>
      <c r="H71" s="163">
        <v>0.72002590974192326</v>
      </c>
      <c r="I71" s="163">
        <v>0.78002590974192332</v>
      </c>
      <c r="J71" s="163">
        <v>0.84002590974192337</v>
      </c>
      <c r="K71" s="164">
        <v>0.90002590974192342</v>
      </c>
      <c r="L71" s="165">
        <v>1</v>
      </c>
      <c r="M71" s="92"/>
    </row>
    <row r="72" spans="1:16">
      <c r="C72" s="134" t="s">
        <v>175</v>
      </c>
      <c r="D72" s="134"/>
      <c r="F72" s="135">
        <v>4</v>
      </c>
      <c r="G72" s="135">
        <v>5</v>
      </c>
      <c r="H72" s="94">
        <v>6</v>
      </c>
      <c r="I72" s="94">
        <v>7</v>
      </c>
      <c r="J72" s="94">
        <v>8</v>
      </c>
      <c r="K72" s="102">
        <v>9</v>
      </c>
      <c r="L72" s="94">
        <v>10</v>
      </c>
    </row>
    <row r="73" spans="1:16">
      <c r="F73" s="100"/>
    </row>
    <row r="74" spans="1:16">
      <c r="D74" s="95"/>
      <c r="F74" s="98"/>
    </row>
    <row r="75" spans="1:16">
      <c r="D75" s="95"/>
    </row>
    <row r="80" spans="1:16" s="20" customFormat="1" ht="50.1" customHeight="1">
      <c r="C80" s="109" t="s">
        <v>144</v>
      </c>
      <c r="D80" s="109" t="s">
        <v>126</v>
      </c>
      <c r="E80" s="109" t="s">
        <v>127</v>
      </c>
      <c r="F80" s="109" t="s">
        <v>128</v>
      </c>
      <c r="G80" s="109" t="s">
        <v>62</v>
      </c>
      <c r="H80" s="109" t="s">
        <v>63</v>
      </c>
      <c r="I80" s="109" t="s">
        <v>64</v>
      </c>
      <c r="J80" s="109" t="s">
        <v>129</v>
      </c>
      <c r="K80" s="110" t="s">
        <v>145</v>
      </c>
      <c r="L80" s="110" t="s">
        <v>154</v>
      </c>
      <c r="M80" s="110" t="s">
        <v>156</v>
      </c>
      <c r="N80" s="110" t="s">
        <v>186</v>
      </c>
      <c r="O80" s="110" t="s">
        <v>187</v>
      </c>
      <c r="P80" s="110" t="s">
        <v>188</v>
      </c>
    </row>
    <row r="81" spans="3:18">
      <c r="C81" s="203" t="s">
        <v>200</v>
      </c>
      <c r="D81" s="136">
        <v>387651722.37529892</v>
      </c>
      <c r="E81" s="136">
        <v>128415454</v>
      </c>
      <c r="F81" s="136">
        <v>61611474.600000001</v>
      </c>
      <c r="G81" s="136">
        <v>577679000</v>
      </c>
      <c r="H81" s="136">
        <v>784755000</v>
      </c>
      <c r="I81" s="136">
        <v>-3767000</v>
      </c>
      <c r="J81" s="136">
        <v>780988000</v>
      </c>
      <c r="K81" s="108">
        <f>+'X Pago'!D14</f>
        <v>224465967</v>
      </c>
      <c r="L81" s="108">
        <v>1378619137</v>
      </c>
      <c r="M81" s="137">
        <f t="shared" ref="M81:M86" si="3">J81/L81</f>
        <v>0.56650018778899336</v>
      </c>
      <c r="N81" s="108">
        <v>9323138631</v>
      </c>
      <c r="O81" s="108">
        <v>7607633507</v>
      </c>
      <c r="P81" s="108">
        <v>336885987</v>
      </c>
      <c r="Q81" s="20"/>
      <c r="R81" s="113"/>
    </row>
    <row r="82" spans="3:18">
      <c r="C82" s="203" t="s">
        <v>201</v>
      </c>
      <c r="D82" s="136">
        <v>374903147.89324188</v>
      </c>
      <c r="E82" s="136">
        <v>68278527.699999988</v>
      </c>
      <c r="F82" s="136">
        <v>40060324.406758122</v>
      </c>
      <c r="G82" s="136">
        <v>483242000</v>
      </c>
      <c r="H82" s="136">
        <v>618385000</v>
      </c>
      <c r="I82" s="136">
        <v>68166000</v>
      </c>
      <c r="J82" s="136">
        <v>686551000</v>
      </c>
      <c r="K82" s="108">
        <f>+'X Pago'!E14</f>
        <v>122330374</v>
      </c>
      <c r="L82" s="108">
        <v>1287184695</v>
      </c>
      <c r="M82" s="137">
        <f t="shared" si="3"/>
        <v>0.53337411691334635</v>
      </c>
      <c r="N82" s="108">
        <v>9503144347</v>
      </c>
      <c r="O82" s="108">
        <v>7719853190</v>
      </c>
      <c r="P82" s="108">
        <v>496106462</v>
      </c>
      <c r="Q82" s="20"/>
      <c r="R82" s="113"/>
    </row>
    <row r="83" spans="3:18">
      <c r="C83" s="203" t="s">
        <v>202</v>
      </c>
      <c r="D83" s="136">
        <v>42379011.362780966</v>
      </c>
      <c r="E83" s="136">
        <v>0</v>
      </c>
      <c r="F83" s="136">
        <v>1081867581.0000002</v>
      </c>
      <c r="G83" s="136">
        <v>1124246592.3627813</v>
      </c>
      <c r="H83" s="136">
        <v>686551000</v>
      </c>
      <c r="I83" s="136">
        <v>69889000</v>
      </c>
      <c r="J83" s="136">
        <v>756440000</v>
      </c>
      <c r="K83" s="108">
        <f>+'X Pago'!F14</f>
        <v>180618914</v>
      </c>
      <c r="L83" s="108">
        <v>1281480170</v>
      </c>
      <c r="M83" s="137">
        <f t="shared" si="3"/>
        <v>0.59028615323793887</v>
      </c>
      <c r="N83" s="108">
        <v>7527711538</v>
      </c>
      <c r="O83" s="108">
        <v>6159938326</v>
      </c>
      <c r="P83" s="108">
        <v>86293042</v>
      </c>
      <c r="Q83" s="20"/>
      <c r="R83" s="113"/>
    </row>
    <row r="84" spans="3:18">
      <c r="C84" s="203" t="s">
        <v>203</v>
      </c>
      <c r="D84" s="136">
        <v>53210372.386347398</v>
      </c>
      <c r="E84" s="136">
        <v>0</v>
      </c>
      <c r="F84" s="136">
        <v>1071190682.1</v>
      </c>
      <c r="G84" s="136">
        <v>1124401054.4863474</v>
      </c>
      <c r="H84" s="136">
        <v>756440000</v>
      </c>
      <c r="I84" s="136">
        <v>68055000</v>
      </c>
      <c r="J84" s="136">
        <v>824495000</v>
      </c>
      <c r="K84" s="108">
        <f>+'X Pago'!G14</f>
        <v>155720180</v>
      </c>
      <c r="L84" s="108">
        <v>1337100352</v>
      </c>
      <c r="M84" s="137">
        <f t="shared" si="3"/>
        <v>0.6166291099742377</v>
      </c>
      <c r="N84" s="108">
        <v>7739051900</v>
      </c>
      <c r="O84" s="108">
        <v>6315658506</v>
      </c>
      <c r="P84" s="108">
        <v>86293042</v>
      </c>
      <c r="Q84" s="20"/>
      <c r="R84" s="113"/>
    </row>
    <row r="85" spans="3:18">
      <c r="C85" s="203" t="s">
        <v>204</v>
      </c>
      <c r="D85" s="136">
        <v>55803330.751698203</v>
      </c>
      <c r="E85" s="136">
        <v>0</v>
      </c>
      <c r="F85" s="136">
        <v>968446302.30000007</v>
      </c>
      <c r="G85" s="136">
        <v>1024249633.0516983</v>
      </c>
      <c r="H85" s="136">
        <v>684946000</v>
      </c>
      <c r="I85" s="136">
        <v>126271000</v>
      </c>
      <c r="J85" s="136">
        <v>811217000</v>
      </c>
      <c r="K85" s="108">
        <f>+'X Pago'!H14</f>
        <v>183387574</v>
      </c>
      <c r="L85" s="108">
        <v>1231303460</v>
      </c>
      <c r="M85" s="137">
        <f t="shared" si="3"/>
        <v>0.65882784086385981</v>
      </c>
      <c r="N85" s="108">
        <v>7956289406</v>
      </c>
      <c r="O85" s="108">
        <v>6499143630</v>
      </c>
      <c r="P85" s="108">
        <v>225842316</v>
      </c>
      <c r="Q85" s="20"/>
      <c r="R85" s="113"/>
    </row>
    <row r="86" spans="3:18">
      <c r="C86" s="203" t="s">
        <v>205</v>
      </c>
      <c r="D86" s="136">
        <v>46317724.872353576</v>
      </c>
      <c r="E86" s="136">
        <v>0</v>
      </c>
      <c r="F86" s="136">
        <v>1081342179</v>
      </c>
      <c r="G86" s="136">
        <v>1127659903.8723536</v>
      </c>
      <c r="H86" s="136">
        <v>811217000</v>
      </c>
      <c r="I86" s="136">
        <v>143456000</v>
      </c>
      <c r="J86" s="136">
        <v>954673200</v>
      </c>
      <c r="K86" s="108">
        <f>+'X Pago'!I14</f>
        <v>123694311</v>
      </c>
      <c r="L86" s="108">
        <v>1315298308</v>
      </c>
      <c r="M86" s="137">
        <f t="shared" si="3"/>
        <v>0.72582257134630179</v>
      </c>
      <c r="N86" s="108">
        <v>8160639421</v>
      </c>
      <c r="O86" s="108">
        <v>6619498797</v>
      </c>
      <c r="P86" s="108">
        <v>225842316</v>
      </c>
      <c r="Q86" s="20"/>
      <c r="R86" s="113"/>
    </row>
    <row r="87" spans="3:18">
      <c r="C87" s="203" t="s">
        <v>206</v>
      </c>
      <c r="D87" s="136">
        <v>56047794.008204669</v>
      </c>
      <c r="E87" s="136">
        <v>0</v>
      </c>
      <c r="F87" s="136">
        <v>1153663827.2999997</v>
      </c>
      <c r="G87" s="136">
        <v>1209711621.3082044</v>
      </c>
      <c r="H87" s="136">
        <v>954673000</v>
      </c>
      <c r="I87" s="136">
        <v>139702100</v>
      </c>
      <c r="J87" s="136">
        <v>1094375100</v>
      </c>
      <c r="K87" s="108">
        <v>165055182</v>
      </c>
      <c r="L87" s="108">
        <v>1400394588</v>
      </c>
      <c r="M87" s="137">
        <v>0.78147624203757637</v>
      </c>
      <c r="N87" s="108">
        <v>8416771038</v>
      </c>
      <c r="O87" s="108">
        <v>6790534134</v>
      </c>
      <c r="P87" s="108">
        <v>225842316</v>
      </c>
      <c r="Q87" s="20"/>
      <c r="R87" s="113"/>
    </row>
    <row r="88" spans="3:18">
      <c r="C88" s="203" t="s">
        <v>207</v>
      </c>
      <c r="D88" s="136">
        <v>48127277.053978063</v>
      </c>
      <c r="E88" s="136">
        <v>0</v>
      </c>
      <c r="F88" s="136">
        <v>1233022725.6999998</v>
      </c>
      <c r="G88" s="136">
        <v>1224259300</v>
      </c>
      <c r="H88" s="136">
        <v>1094375000</v>
      </c>
      <c r="I88" s="136">
        <v>186775000</v>
      </c>
      <c r="J88" s="136">
        <v>1281150000</v>
      </c>
      <c r="K88" s="108">
        <v>150154070</v>
      </c>
      <c r="L88" s="108">
        <v>1441637977</v>
      </c>
      <c r="M88" s="137">
        <v>0.88867664451100958</v>
      </c>
      <c r="N88" s="108">
        <v>8606044460</v>
      </c>
      <c r="O88" s="108">
        <v>6938806439</v>
      </c>
      <c r="P88" s="108">
        <v>225842316</v>
      </c>
      <c r="Q88" s="20"/>
      <c r="R88" s="113"/>
    </row>
    <row r="89" spans="3:18">
      <c r="C89" s="203" t="s">
        <v>208</v>
      </c>
      <c r="D89" s="136">
        <v>57486940.924893521</v>
      </c>
      <c r="E89" s="136">
        <v>0</v>
      </c>
      <c r="F89" s="136">
        <v>1291615729.6000004</v>
      </c>
      <c r="G89" s="136">
        <v>1349102670.524894</v>
      </c>
      <c r="H89" s="136">
        <v>1281150000</v>
      </c>
      <c r="I89" s="136">
        <v>67952700</v>
      </c>
      <c r="J89" s="136">
        <v>1349102700</v>
      </c>
      <c r="K89" s="108">
        <v>157068778</v>
      </c>
      <c r="L89" s="108">
        <v>1494454722</v>
      </c>
      <c r="M89" s="137">
        <v>0.90273909282077269</v>
      </c>
      <c r="N89" s="108">
        <v>8812397375</v>
      </c>
      <c r="O89" s="108">
        <v>6972093276</v>
      </c>
      <c r="P89" s="108">
        <v>225842316</v>
      </c>
      <c r="Q89" s="20"/>
      <c r="R89" s="113"/>
    </row>
    <row r="90" spans="3:18">
      <c r="C90" s="203" t="s">
        <v>209</v>
      </c>
      <c r="D90" s="136">
        <v>54645988.705541655</v>
      </c>
      <c r="E90" s="136">
        <v>0</v>
      </c>
      <c r="F90" s="136">
        <v>1303751240.0999994</v>
      </c>
      <c r="G90" s="136">
        <v>1358397228.805541</v>
      </c>
      <c r="H90" s="136">
        <v>1349103000</v>
      </c>
      <c r="I90" s="136">
        <v>9294200</v>
      </c>
      <c r="J90" s="136">
        <v>1358397200</v>
      </c>
      <c r="K90" s="108">
        <v>189628881</v>
      </c>
      <c r="L90" s="108">
        <v>1532827560</v>
      </c>
      <c r="M90" s="137">
        <f>IFERROR(J90/L90,0)</f>
        <v>0.88620353355337633</v>
      </c>
      <c r="N90" s="108">
        <v>9053519653</v>
      </c>
      <c r="O90" s="108">
        <v>7197670142</v>
      </c>
      <c r="P90" s="108">
        <v>225842316</v>
      </c>
      <c r="Q90" s="20"/>
      <c r="R90" s="113"/>
    </row>
    <row r="91" spans="3:18">
      <c r="C91" s="203" t="s">
        <v>210</v>
      </c>
      <c r="D91" s="136">
        <v>65408099.354388081</v>
      </c>
      <c r="E91" s="136">
        <v>0</v>
      </c>
      <c r="F91" s="136">
        <v>1093286237.3999999</v>
      </c>
      <c r="G91" s="136">
        <v>1158694336.7543879</v>
      </c>
      <c r="H91" s="136">
        <v>1155145000</v>
      </c>
      <c r="I91" s="136">
        <v>3549300</v>
      </c>
      <c r="J91" s="136">
        <v>1158694300</v>
      </c>
      <c r="K91" s="108">
        <v>172746295</v>
      </c>
      <c r="L91" s="108">
        <v>1396470738</v>
      </c>
      <c r="M91" s="137">
        <v>0.82973045440211723</v>
      </c>
      <c r="N91" s="108">
        <v>9278146561</v>
      </c>
      <c r="O91" s="108">
        <v>7350054259</v>
      </c>
      <c r="P91" s="108">
        <v>410506751</v>
      </c>
      <c r="Q91" s="20"/>
      <c r="R91" s="113"/>
    </row>
    <row r="92" spans="3:18">
      <c r="C92" s="203" t="s">
        <v>211</v>
      </c>
      <c r="D92" s="136">
        <f>+D64</f>
        <v>57831458.452896513</v>
      </c>
      <c r="E92" s="136">
        <v>0</v>
      </c>
      <c r="F92" s="136">
        <f>+D66</f>
        <v>1140753659.4000001</v>
      </c>
      <c r="G92" s="136">
        <f>SUM(D92:F92)</f>
        <v>1198585117.8528967</v>
      </c>
      <c r="H92" s="136">
        <f>+D68</f>
        <v>1153906000</v>
      </c>
      <c r="I92" s="136">
        <f>+D69</f>
        <v>44679100</v>
      </c>
      <c r="J92" s="136">
        <f>+D70</f>
        <v>1198585100</v>
      </c>
      <c r="K92" s="108">
        <f>+E199</f>
        <v>293135847</v>
      </c>
      <c r="L92" s="108">
        <f>+PROVISION!J23</f>
        <v>1412815123</v>
      </c>
      <c r="M92" s="137">
        <f>IFERROR(J92/L92,0)</f>
        <v>0.84836655588375942</v>
      </c>
      <c r="N92" s="108">
        <f>'Resumen General x Edades'!D72</f>
        <v>11548845782</v>
      </c>
      <c r="O92" s="108">
        <f>+PROVISION!C14</f>
        <v>9600731677</v>
      </c>
      <c r="P92" s="108">
        <f>'Resumen General x Edades'!F72</f>
        <v>481744069</v>
      </c>
    </row>
    <row r="100" spans="3:10">
      <c r="C100" s="111" t="s">
        <v>146</v>
      </c>
    </row>
    <row r="102" spans="3:10">
      <c r="C102" s="103" t="s">
        <v>144</v>
      </c>
      <c r="D102" s="103" t="s">
        <v>126</v>
      </c>
      <c r="E102" s="103" t="s">
        <v>127</v>
      </c>
      <c r="F102" s="103" t="s">
        <v>128</v>
      </c>
      <c r="G102" s="103" t="s">
        <v>62</v>
      </c>
      <c r="H102" s="103" t="s">
        <v>63</v>
      </c>
      <c r="I102" s="103" t="s">
        <v>64</v>
      </c>
      <c r="J102" s="103" t="s">
        <v>129</v>
      </c>
    </row>
    <row r="103" spans="3:10">
      <c r="C103" s="100" t="s">
        <v>211</v>
      </c>
      <c r="D103" s="100">
        <v>57831458.452896513</v>
      </c>
      <c r="E103" s="100">
        <v>0</v>
      </c>
      <c r="F103" s="100">
        <v>1049079466.8000002</v>
      </c>
      <c r="G103" s="100">
        <v>1106910925.2528968</v>
      </c>
      <c r="H103" s="100">
        <v>1158694000</v>
      </c>
      <c r="I103" s="100">
        <v>-51783100</v>
      </c>
      <c r="J103" s="100">
        <v>1106910900</v>
      </c>
    </row>
    <row r="119" spans="3:4" ht="13.5" customHeight="1"/>
    <row r="121" spans="3:4">
      <c r="C121" s="9" t="s">
        <v>145</v>
      </c>
    </row>
    <row r="122" spans="3:4">
      <c r="C122" s="103" t="s">
        <v>145</v>
      </c>
      <c r="D122" s="100">
        <v>293135847</v>
      </c>
    </row>
    <row r="124" spans="3:4">
      <c r="C124" s="103" t="s">
        <v>144</v>
      </c>
      <c r="D124" s="100" t="s">
        <v>147</v>
      </c>
    </row>
    <row r="125" spans="3:4">
      <c r="C125" s="100" t="s">
        <v>211</v>
      </c>
      <c r="D125" s="112">
        <v>293135847</v>
      </c>
    </row>
    <row r="155" spans="2:6" ht="18">
      <c r="B155" t="s">
        <v>144</v>
      </c>
      <c r="C155" s="118" t="s">
        <v>148</v>
      </c>
      <c r="D155" s="118" t="s">
        <v>150</v>
      </c>
      <c r="E155" s="118" t="s">
        <v>149</v>
      </c>
      <c r="F155" s="118" t="s">
        <v>190</v>
      </c>
    </row>
    <row r="156" spans="2:6">
      <c r="B156" t="str">
        <f>'PRESENT 2'!$O$4</f>
        <v>JUNIO 2025</v>
      </c>
      <c r="C156" s="113" t="e">
        <f>VLOOKUP(B156,C81:Q92,13,0)</f>
        <v>#N/A</v>
      </c>
      <c r="D156" s="113" t="e">
        <f>VLOOKUP(B156,C80:Q92,10,0)</f>
        <v>#N/A</v>
      </c>
      <c r="E156" s="113" t="e">
        <f>VLOOKUP(B156,C80:Q92,14,0)</f>
        <v>#N/A</v>
      </c>
      <c r="F156" s="113" t="e">
        <f>VLOOKUP(B156,C80:Q92,12,0)</f>
        <v>#N/A</v>
      </c>
    </row>
    <row r="158" spans="2:6">
      <c r="D158" s="113"/>
    </row>
    <row r="166" spans="3:4">
      <c r="C166" s="103" t="s">
        <v>154</v>
      </c>
      <c r="D166" s="100">
        <v>1443511348</v>
      </c>
    </row>
    <row r="168" spans="3:4">
      <c r="C168" s="103" t="s">
        <v>144</v>
      </c>
      <c r="D168" s="100" t="s">
        <v>155</v>
      </c>
    </row>
    <row r="169" spans="3:4">
      <c r="C169" s="100" t="s">
        <v>211</v>
      </c>
      <c r="D169" s="100">
        <v>1443511348</v>
      </c>
    </row>
    <row r="182" spans="3:6" ht="43.2">
      <c r="C182" s="78" t="s">
        <v>57</v>
      </c>
      <c r="D182" s="78" t="s">
        <v>160</v>
      </c>
      <c r="E182" s="78" t="s">
        <v>161</v>
      </c>
    </row>
    <row r="183" spans="3:6">
      <c r="C183" s="140" t="s">
        <v>115</v>
      </c>
      <c r="D183" s="141">
        <f>VLOOKUP(C183,$A$28:D61,2,0)</f>
        <v>334380218</v>
      </c>
      <c r="E183" s="141">
        <f>VLOOKUP(C183,$A$28:D61,4,0)</f>
        <v>300942196.19999999</v>
      </c>
    </row>
    <row r="184" spans="3:6">
      <c r="C184" s="140" t="s">
        <v>108</v>
      </c>
      <c r="D184" s="141">
        <f>VLOOKUP(C184,$A$28:D62,2,0)</f>
        <v>201087033</v>
      </c>
      <c r="E184" s="141">
        <f>VLOOKUP(C184,$A$28:D62,4,0)</f>
        <v>180978329.70000002</v>
      </c>
    </row>
    <row r="185" spans="3:6">
      <c r="C185" s="140" t="s">
        <v>111</v>
      </c>
      <c r="D185" s="141">
        <f>VLOOKUP(C185,$A$28:D63,2,0)</f>
        <v>169352181</v>
      </c>
      <c r="E185" s="141">
        <f>VLOOKUP(C185,$A$28:D63,4,0)</f>
        <v>152416962.90000001</v>
      </c>
    </row>
    <row r="186" spans="3:6">
      <c r="C186" s="140" t="s">
        <v>109</v>
      </c>
      <c r="D186" s="141">
        <f>VLOOKUP(C186,$A$28:D64,2,0)</f>
        <v>163758425</v>
      </c>
      <c r="E186" s="141">
        <f>VLOOKUP(C186,$A$28:D64,4,0)</f>
        <v>147382582.5</v>
      </c>
    </row>
    <row r="187" spans="3:6">
      <c r="C187" s="140" t="s">
        <v>101</v>
      </c>
      <c r="D187" s="141">
        <f>VLOOKUP(C187,$A$28:D65,2,0)</f>
        <v>98554067</v>
      </c>
      <c r="E187" s="141">
        <f>VLOOKUP(C187,$A$28:D65,4,0)</f>
        <v>88698660.299999997</v>
      </c>
    </row>
    <row r="188" spans="3:6">
      <c r="C188" s="140" t="s">
        <v>110</v>
      </c>
      <c r="D188" s="141">
        <f>VLOOKUP(C188,$A$28:D66,2,0)</f>
        <v>21984063</v>
      </c>
      <c r="E188" s="141">
        <f>VLOOKUP(C188,$A$28:D66,4,0)</f>
        <v>19785656.699999999</v>
      </c>
    </row>
    <row r="189" spans="3:6">
      <c r="C189" s="140" t="s">
        <v>103</v>
      </c>
      <c r="D189" s="141">
        <f>VLOOKUP(C189,$A$28:D67,2,0)</f>
        <v>19999911</v>
      </c>
      <c r="E189" s="141">
        <f>VLOOKUP(C189,$A$28:D67,4,0)</f>
        <v>17999919.900000002</v>
      </c>
    </row>
    <row r="190" spans="3:6">
      <c r="C190" s="140" t="s">
        <v>82</v>
      </c>
      <c r="D190" s="141">
        <f>VLOOKUP(C190,$A$28:D68,2,0)</f>
        <v>9533222</v>
      </c>
      <c r="E190" s="141">
        <f>VLOOKUP(C190,$A$28:D68,4,0)</f>
        <v>8579899.8000000007</v>
      </c>
    </row>
    <row r="191" spans="3:6">
      <c r="C191" s="140" t="s">
        <v>32</v>
      </c>
      <c r="D191" s="141">
        <f>SUM(D183:D190)</f>
        <v>1018649120</v>
      </c>
      <c r="E191" s="141">
        <f>SUM(E183:E190)</f>
        <v>916784207.99999988</v>
      </c>
      <c r="F191" s="55">
        <f>D191/PROVISION!J23</f>
        <v>0.72100666493219578</v>
      </c>
    </row>
    <row r="197" spans="3:5">
      <c r="C197" s="138" t="s">
        <v>171</v>
      </c>
      <c r="D197" s="138" t="s">
        <v>172</v>
      </c>
    </row>
    <row r="198" spans="3:5">
      <c r="C198" s="139" t="s">
        <v>141</v>
      </c>
      <c r="D198" t="s">
        <v>138</v>
      </c>
      <c r="E198" t="s">
        <v>215</v>
      </c>
    </row>
    <row r="199" spans="3:5">
      <c r="C199" s="198" t="s">
        <v>8</v>
      </c>
      <c r="D199" s="141">
        <v>209115251</v>
      </c>
      <c r="E199" s="141">
        <v>293135847</v>
      </c>
    </row>
    <row r="200" spans="3:5">
      <c r="C200" s="198" t="s">
        <v>164</v>
      </c>
      <c r="D200" s="141">
        <v>224465967</v>
      </c>
      <c r="E200" s="141"/>
    </row>
    <row r="201" spans="3:5">
      <c r="C201" s="198" t="s">
        <v>165</v>
      </c>
      <c r="D201" s="141">
        <v>132441051</v>
      </c>
      <c r="E201" s="141"/>
    </row>
    <row r="202" spans="3:5">
      <c r="C202" s="198" t="s">
        <v>166</v>
      </c>
      <c r="D202" s="141">
        <v>180618914</v>
      </c>
      <c r="E202" s="141"/>
    </row>
    <row r="203" spans="3:5">
      <c r="C203" s="198" t="s">
        <v>167</v>
      </c>
      <c r="D203" s="141">
        <v>155720180</v>
      </c>
      <c r="E203" s="141"/>
    </row>
    <row r="204" spans="3:5">
      <c r="C204" s="198" t="s">
        <v>168</v>
      </c>
      <c r="D204" s="141">
        <v>183485112</v>
      </c>
      <c r="E204" s="141"/>
    </row>
    <row r="205" spans="3:5">
      <c r="C205" s="198" t="s">
        <v>169</v>
      </c>
      <c r="D205" s="141">
        <v>120355167</v>
      </c>
      <c r="E205" s="141"/>
    </row>
    <row r="206" spans="3:5">
      <c r="C206" s="198" t="s">
        <v>170</v>
      </c>
      <c r="D206" s="141">
        <v>171035337</v>
      </c>
      <c r="E206" s="141"/>
    </row>
    <row r="207" spans="3:5">
      <c r="C207" s="198" t="s">
        <v>193</v>
      </c>
      <c r="D207" s="141">
        <v>160077011</v>
      </c>
      <c r="E207" s="141"/>
    </row>
    <row r="208" spans="3:5">
      <c r="C208" s="198" t="s">
        <v>196</v>
      </c>
      <c r="D208" s="141">
        <v>176112958</v>
      </c>
      <c r="E208" s="141"/>
    </row>
    <row r="209" spans="3:9">
      <c r="C209" s="198" t="s">
        <v>197</v>
      </c>
      <c r="D209" s="141">
        <v>252645629</v>
      </c>
      <c r="E209" s="141"/>
    </row>
    <row r="210" spans="3:9">
      <c r="C210" s="198" t="s">
        <v>198</v>
      </c>
      <c r="D210" s="141">
        <v>176319295</v>
      </c>
      <c r="E210" s="141"/>
    </row>
    <row r="215" spans="3:9">
      <c r="C215" s="150" t="s">
        <v>75</v>
      </c>
      <c r="D215" s="151" t="s">
        <v>177</v>
      </c>
      <c r="E215" s="151" t="s">
        <v>213</v>
      </c>
      <c r="F215" s="151" t="s">
        <v>178</v>
      </c>
      <c r="G215" s="152" t="s">
        <v>176</v>
      </c>
      <c r="H215" s="152" t="s">
        <v>214</v>
      </c>
      <c r="I215" s="151" t="s">
        <v>179</v>
      </c>
    </row>
    <row r="216" spans="3:9" ht="18">
      <c r="C216" s="153" t="s">
        <v>55</v>
      </c>
      <c r="D216" s="154">
        <v>192806559</v>
      </c>
      <c r="E216" s="154">
        <f>+PROVISION!B13</f>
        <v>2270699221</v>
      </c>
      <c r="F216" s="155">
        <f t="shared" ref="F216:F227" si="4">IFERROR((E216-D216)/D216,0)</f>
        <v>10.777084933090892</v>
      </c>
      <c r="G216" s="154">
        <v>21511678</v>
      </c>
      <c r="H216" s="154">
        <f>+PROVISION!C13</f>
        <v>1799118835</v>
      </c>
      <c r="I216" s="155">
        <f>IFERROR((H216-G216)/G216,0)</f>
        <v>82.634518655401962</v>
      </c>
    </row>
    <row r="217" spans="3:9" ht="18">
      <c r="C217" s="153" t="s">
        <v>81</v>
      </c>
      <c r="D217" s="154">
        <v>387686601</v>
      </c>
      <c r="E217" s="154"/>
      <c r="F217" s="155">
        <f t="shared" si="4"/>
        <v>-1</v>
      </c>
      <c r="G217" s="154">
        <v>104296625</v>
      </c>
      <c r="H217" s="154"/>
      <c r="I217" s="155">
        <f t="shared" ref="I217:I227" si="5">IFERROR((H217-G217)/G217,0)</f>
        <v>-1</v>
      </c>
    </row>
    <row r="218" spans="3:9" ht="18">
      <c r="C218" s="153" t="s">
        <v>90</v>
      </c>
      <c r="D218" s="154">
        <v>567692317</v>
      </c>
      <c r="E218" s="154"/>
      <c r="F218" s="155">
        <f t="shared" si="4"/>
        <v>-1</v>
      </c>
      <c r="G218" s="154">
        <v>227881394</v>
      </c>
      <c r="H218" s="154"/>
      <c r="I218" s="155">
        <f t="shared" si="5"/>
        <v>-1</v>
      </c>
    </row>
    <row r="219" spans="3:9" ht="18">
      <c r="C219" s="153" t="s">
        <v>119</v>
      </c>
      <c r="D219" s="154">
        <v>741777921</v>
      </c>
      <c r="E219" s="154"/>
      <c r="F219" s="155">
        <f t="shared" si="4"/>
        <v>-1</v>
      </c>
      <c r="G219" s="154">
        <v>352581133</v>
      </c>
      <c r="H219" s="154"/>
      <c r="I219" s="155">
        <f t="shared" si="5"/>
        <v>-1</v>
      </c>
    </row>
    <row r="220" spans="3:9" ht="18">
      <c r="C220" s="153" t="s">
        <v>130</v>
      </c>
      <c r="D220" s="154">
        <v>953118283</v>
      </c>
      <c r="E220" s="154"/>
      <c r="F220" s="155">
        <f t="shared" si="4"/>
        <v>-1</v>
      </c>
      <c r="G220" s="154">
        <v>486390125</v>
      </c>
      <c r="H220" s="154"/>
      <c r="I220" s="155">
        <f t="shared" si="5"/>
        <v>-1</v>
      </c>
    </row>
    <row r="221" spans="3:9" ht="18">
      <c r="C221" s="153" t="s">
        <v>133</v>
      </c>
      <c r="D221" s="154">
        <v>1170355789</v>
      </c>
      <c r="E221" s="154"/>
      <c r="F221" s="155">
        <f t="shared" si="4"/>
        <v>-1</v>
      </c>
      <c r="G221" s="154">
        <v>673128886</v>
      </c>
      <c r="H221" s="154"/>
      <c r="I221" s="155">
        <f t="shared" si="5"/>
        <v>-1</v>
      </c>
    </row>
    <row r="222" spans="3:9" ht="18">
      <c r="C222" s="153" t="s">
        <v>135</v>
      </c>
      <c r="D222" s="154">
        <v>1374705804</v>
      </c>
      <c r="E222" s="154"/>
      <c r="F222" s="155">
        <f t="shared" si="4"/>
        <v>-1</v>
      </c>
      <c r="G222" s="154">
        <v>780325157</v>
      </c>
      <c r="H222" s="154"/>
      <c r="I222" s="155">
        <f t="shared" si="5"/>
        <v>-1</v>
      </c>
    </row>
    <row r="223" spans="3:9" ht="18">
      <c r="C223" s="153" t="s">
        <v>140</v>
      </c>
      <c r="D223" s="154">
        <v>1630837421</v>
      </c>
      <c r="E223" s="154"/>
      <c r="F223" s="155">
        <f t="shared" si="4"/>
        <v>-1</v>
      </c>
      <c r="G223" s="154">
        <v>924198960</v>
      </c>
      <c r="H223" s="154"/>
      <c r="I223" s="155">
        <f t="shared" si="5"/>
        <v>-1</v>
      </c>
    </row>
    <row r="224" spans="3:9" ht="18">
      <c r="C224" s="153" t="s">
        <v>180</v>
      </c>
      <c r="D224" s="154">
        <v>1820110843</v>
      </c>
      <c r="E224" s="154"/>
      <c r="F224" s="155">
        <f t="shared" si="4"/>
        <v>-1</v>
      </c>
      <c r="G224" s="154">
        <v>1059549230</v>
      </c>
      <c r="H224" s="154"/>
      <c r="I224" s="155">
        <f t="shared" si="5"/>
        <v>-1</v>
      </c>
    </row>
    <row r="225" spans="3:9" ht="18">
      <c r="C225" s="153" t="s">
        <v>181</v>
      </c>
      <c r="D225" s="154">
        <v>2026463758</v>
      </c>
      <c r="E225" s="154"/>
      <c r="F225" s="155">
        <f t="shared" si="4"/>
        <v>-1</v>
      </c>
      <c r="G225" s="154">
        <v>1171835591</v>
      </c>
      <c r="H225" s="154"/>
      <c r="I225" s="155">
        <f t="shared" si="5"/>
        <v>-1</v>
      </c>
    </row>
    <row r="226" spans="3:9" ht="18">
      <c r="C226" s="153" t="s">
        <v>182</v>
      </c>
      <c r="D226" s="154">
        <v>2267586036</v>
      </c>
      <c r="E226" s="154"/>
      <c r="F226" s="155">
        <f t="shared" si="4"/>
        <v>-1</v>
      </c>
      <c r="G226" s="154">
        <v>1398583869</v>
      </c>
      <c r="H226" s="154"/>
      <c r="I226" s="155">
        <f t="shared" si="5"/>
        <v>-1</v>
      </c>
    </row>
    <row r="227" spans="3:9" ht="18">
      <c r="C227" s="153" t="s">
        <v>183</v>
      </c>
      <c r="D227" s="154">
        <v>2492212944</v>
      </c>
      <c r="E227" s="154"/>
      <c r="F227" s="155">
        <f t="shared" si="4"/>
        <v>-1</v>
      </c>
      <c r="G227" s="154">
        <v>1550967986</v>
      </c>
      <c r="H227" s="154"/>
      <c r="I227" s="155">
        <f t="shared" si="5"/>
        <v>-1</v>
      </c>
    </row>
    <row r="228" spans="3:9">
      <c r="I228" s="155"/>
    </row>
    <row r="229" spans="3:9">
      <c r="I229" s="155"/>
    </row>
    <row r="233" spans="3:9">
      <c r="C233" s="157" t="s">
        <v>75</v>
      </c>
      <c r="D233" s="148"/>
      <c r="E233" s="158">
        <v>2024</v>
      </c>
      <c r="F233" s="158">
        <v>2025</v>
      </c>
      <c r="G233" s="158" t="s">
        <v>78</v>
      </c>
    </row>
    <row r="234" spans="3:9" ht="18">
      <c r="C234" s="359" t="s">
        <v>123</v>
      </c>
      <c r="D234" s="159" t="s">
        <v>79</v>
      </c>
      <c r="E234" s="156">
        <f>+VLOOKUP(C234,C215:I227,2,0)</f>
        <v>192806559</v>
      </c>
      <c r="F234" s="156">
        <f>+VLOOKUP(C234,C215:I227,3,0)</f>
        <v>2270699221</v>
      </c>
      <c r="G234" s="160">
        <f>+VLOOKUP(C234,C215:I227,4,0)</f>
        <v>10.777084933090892</v>
      </c>
    </row>
    <row r="235" spans="3:9" ht="18">
      <c r="C235" s="360"/>
      <c r="D235" s="159" t="s">
        <v>80</v>
      </c>
      <c r="E235" s="156">
        <f>+VLOOKUP(C234,C215:I227,5,0)</f>
        <v>21511678</v>
      </c>
      <c r="F235" s="156">
        <f>+VLOOKUP(C234,C215:I227,6,0)</f>
        <v>1799118835</v>
      </c>
      <c r="G235" s="161">
        <f>+VLOOKUP(C234,C215:I227,7,0)</f>
        <v>82.634518655401962</v>
      </c>
    </row>
  </sheetData>
  <mergeCells count="10">
    <mergeCell ref="A14:D14"/>
    <mergeCell ref="H19:I19"/>
    <mergeCell ref="A26:D26"/>
    <mergeCell ref="C234:C235"/>
    <mergeCell ref="A1:I1"/>
    <mergeCell ref="A2:D2"/>
    <mergeCell ref="A4:D4"/>
    <mergeCell ref="H4:H5"/>
    <mergeCell ref="I4:I5"/>
    <mergeCell ref="A12:C12"/>
  </mergeCells>
  <conditionalFormatting sqref="A29:A60">
    <cfRule type="duplicateValues" dxfId="8" priority="9"/>
  </conditionalFormatting>
  <conditionalFormatting sqref="C183:C191">
    <cfRule type="duplicateValues" dxfId="7" priority="1"/>
  </conditionalFormatting>
  <conditionalFormatting sqref="C199:C209">
    <cfRule type="duplicateValues" dxfId="6" priority="2"/>
  </conditionalFormatting>
  <conditionalFormatting sqref="I37:I42">
    <cfRule type="duplicateValues" dxfId="5" priority="7"/>
  </conditionalFormatting>
  <conditionalFormatting sqref="I43:I44">
    <cfRule type="duplicateValues" dxfId="4" priority="8"/>
  </conditionalFormatting>
  <conditionalFormatting sqref="I45">
    <cfRule type="duplicateValues" dxfId="3" priority="3"/>
  </conditionalFormatting>
  <conditionalFormatting sqref="I46">
    <cfRule type="duplicateValues" dxfId="2" priority="6"/>
  </conditionalFormatting>
  <conditionalFormatting sqref="I47">
    <cfRule type="duplicateValues" dxfId="1" priority="5"/>
  </conditionalFormatting>
  <conditionalFormatting sqref="I48:I49">
    <cfRule type="duplicateValues" dxfId="0" priority="4"/>
  </conditionalFormatting>
  <pageMargins left="0.7" right="0.7" top="0.75" bottom="0.75" header="0.3" footer="0.3"/>
  <pageSetup orientation="portrait" r:id="rId5"/>
  <drawing r:id="rId6"/>
  <legacy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>
    <tabColor rgb="FF6B5AE8"/>
  </sheetPr>
  <dimension ref="B2:N15"/>
  <sheetViews>
    <sheetView showGridLines="0" zoomScale="70" zoomScaleNormal="70" workbookViewId="0">
      <selection activeCell="N10" sqref="N10"/>
    </sheetView>
  </sheetViews>
  <sheetFormatPr baseColWidth="10" defaultColWidth="10.77734375" defaultRowHeight="13.2"/>
  <cols>
    <col min="1" max="1" width="10.77734375" style="106"/>
    <col min="2" max="2" width="15.5546875" style="106" bestFit="1" customWidth="1"/>
    <col min="3" max="8" width="14.44140625" style="106" customWidth="1"/>
    <col min="9" max="9" width="16.5546875" style="106" customWidth="1"/>
    <col min="10" max="14" width="14.44140625" style="106" customWidth="1"/>
    <col min="15" max="16384" width="10.77734375" style="106"/>
  </cols>
  <sheetData>
    <row r="2" spans="2:14" ht="14.55" customHeight="1">
      <c r="B2" s="356" t="s">
        <v>184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</row>
    <row r="3" spans="2:14"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</row>
    <row r="4" spans="2:14">
      <c r="B4" s="356"/>
      <c r="C4" s="356"/>
      <c r="D4" s="356"/>
      <c r="E4" s="356"/>
      <c r="F4" s="356"/>
      <c r="G4" s="356"/>
      <c r="H4" s="356"/>
      <c r="I4" s="356"/>
      <c r="J4" s="356"/>
      <c r="K4" s="356"/>
      <c r="L4" s="356"/>
      <c r="M4" s="356"/>
      <c r="N4" s="356"/>
    </row>
    <row r="5" spans="2:14" ht="13.05" customHeight="1"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</row>
    <row r="6" spans="2:14">
      <c r="B6" s="119"/>
    </row>
    <row r="7" spans="2:14" ht="26.1" customHeight="1">
      <c r="B7" s="120" t="s">
        <v>66</v>
      </c>
      <c r="C7" s="120">
        <v>1</v>
      </c>
      <c r="D7" s="120">
        <v>2</v>
      </c>
      <c r="E7" s="120">
        <v>3</v>
      </c>
      <c r="F7" s="120">
        <v>4</v>
      </c>
      <c r="G7" s="120">
        <v>5</v>
      </c>
      <c r="H7" s="120">
        <v>6</v>
      </c>
      <c r="I7" s="120">
        <v>7</v>
      </c>
      <c r="J7" s="120">
        <v>8</v>
      </c>
      <c r="K7" s="120">
        <v>9</v>
      </c>
      <c r="L7" s="120">
        <v>10</v>
      </c>
      <c r="M7" s="120">
        <v>11</v>
      </c>
      <c r="N7" s="120">
        <v>12</v>
      </c>
    </row>
    <row r="8" spans="2:14">
      <c r="B8" s="125" t="s">
        <v>185</v>
      </c>
      <c r="C8" s="127">
        <v>184968</v>
      </c>
      <c r="D8" s="127">
        <v>483146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</row>
    <row r="9" spans="2:14">
      <c r="B9" s="125" t="s">
        <v>20</v>
      </c>
      <c r="C9" s="127">
        <v>13990236</v>
      </c>
      <c r="D9" s="127">
        <v>5927233</v>
      </c>
      <c r="E9" s="127">
        <v>11637096</v>
      </c>
      <c r="F9" s="127">
        <v>12755426</v>
      </c>
      <c r="G9" s="127">
        <v>2732913</v>
      </c>
      <c r="H9" s="127">
        <v>1780520</v>
      </c>
      <c r="I9" s="127">
        <v>3773536</v>
      </c>
      <c r="J9" s="127">
        <v>0</v>
      </c>
      <c r="K9" s="127">
        <v>242272</v>
      </c>
      <c r="L9" s="127">
        <v>242272</v>
      </c>
      <c r="M9" s="127"/>
      <c r="N9" s="127"/>
    </row>
    <row r="10" spans="2:14">
      <c r="B10" s="125" t="s">
        <v>21</v>
      </c>
      <c r="C10" s="127">
        <v>23189049</v>
      </c>
      <c r="D10" s="127">
        <v>10045515</v>
      </c>
      <c r="E10" s="127">
        <v>6245706</v>
      </c>
      <c r="F10" s="127">
        <v>5775314</v>
      </c>
      <c r="G10" s="127">
        <v>2288827</v>
      </c>
      <c r="H10" s="127">
        <v>1000000</v>
      </c>
      <c r="I10" s="127">
        <v>0</v>
      </c>
      <c r="J10" s="127">
        <v>0</v>
      </c>
      <c r="K10" s="127">
        <v>0</v>
      </c>
      <c r="L10" s="127">
        <v>0</v>
      </c>
      <c r="M10" s="127">
        <v>701873</v>
      </c>
      <c r="N10" s="127"/>
    </row>
    <row r="11" spans="2:14">
      <c r="B11" s="125" t="s">
        <v>22</v>
      </c>
      <c r="C11" s="127">
        <v>112026337</v>
      </c>
      <c r="D11" s="127">
        <v>137765262</v>
      </c>
      <c r="E11" s="127">
        <v>16332187</v>
      </c>
      <c r="F11" s="127">
        <v>42245102</v>
      </c>
      <c r="G11" s="127">
        <v>18898080</v>
      </c>
      <c r="H11" s="127">
        <v>5696849</v>
      </c>
      <c r="I11" s="127">
        <v>4348949</v>
      </c>
      <c r="J11" s="127">
        <v>1677279</v>
      </c>
      <c r="K11" s="127">
        <v>38667</v>
      </c>
      <c r="L11" s="127">
        <v>38667</v>
      </c>
      <c r="M11" s="127">
        <v>36352207</v>
      </c>
      <c r="N11" s="127"/>
    </row>
    <row r="12" spans="2:14">
      <c r="B12" s="125" t="s">
        <v>23</v>
      </c>
      <c r="C12" s="127">
        <v>23121913</v>
      </c>
      <c r="D12" s="127">
        <v>35347673</v>
      </c>
      <c r="E12" s="127">
        <v>75269181</v>
      </c>
      <c r="F12" s="127">
        <v>109065240</v>
      </c>
      <c r="G12" s="127">
        <v>109979614</v>
      </c>
      <c r="H12" s="127">
        <v>169098844</v>
      </c>
      <c r="I12" s="127">
        <v>106761879</v>
      </c>
      <c r="J12" s="127">
        <v>143873848</v>
      </c>
      <c r="K12" s="127">
        <v>135350270</v>
      </c>
      <c r="L12" s="127">
        <v>156749172</v>
      </c>
      <c r="M12" s="127">
        <v>126693119</v>
      </c>
      <c r="N12" s="127"/>
    </row>
    <row r="13" spans="2:14">
      <c r="B13" s="125" t="s">
        <v>77</v>
      </c>
      <c r="C13" s="127">
        <v>33103148</v>
      </c>
      <c r="D13" s="127">
        <v>34897138</v>
      </c>
      <c r="E13" s="127">
        <v>12846204</v>
      </c>
      <c r="F13" s="127">
        <v>10777832</v>
      </c>
      <c r="G13" s="127">
        <v>21820746</v>
      </c>
      <c r="H13" s="127">
        <v>5811361</v>
      </c>
      <c r="I13" s="127">
        <v>8809947</v>
      </c>
      <c r="J13" s="127">
        <v>19504055</v>
      </c>
      <c r="K13" s="127">
        <v>14522861</v>
      </c>
      <c r="L13" s="127">
        <v>38667</v>
      </c>
      <c r="M13" s="127">
        <v>25881682</v>
      </c>
      <c r="N13" s="127">
        <v>152384117</v>
      </c>
    </row>
    <row r="14" spans="2:14">
      <c r="B14" s="126" t="s">
        <v>74</v>
      </c>
      <c r="C14" s="128">
        <f>SUM(C8:C13)</f>
        <v>205615651</v>
      </c>
      <c r="D14" s="128">
        <f>SUM(D8:D13)</f>
        <v>224465967</v>
      </c>
      <c r="E14" s="128">
        <f t="shared" ref="E14:N14" si="0">SUM(E8:E13)</f>
        <v>122330374</v>
      </c>
      <c r="F14" s="128">
        <f t="shared" si="0"/>
        <v>180618914</v>
      </c>
      <c r="G14" s="128">
        <f t="shared" si="0"/>
        <v>155720180</v>
      </c>
      <c r="H14" s="128">
        <f t="shared" si="0"/>
        <v>183387574</v>
      </c>
      <c r="I14" s="128">
        <f t="shared" si="0"/>
        <v>123694311</v>
      </c>
      <c r="J14" s="128">
        <f t="shared" si="0"/>
        <v>165055182</v>
      </c>
      <c r="K14" s="128">
        <f t="shared" si="0"/>
        <v>150154070</v>
      </c>
      <c r="L14" s="128">
        <f t="shared" si="0"/>
        <v>157068778</v>
      </c>
      <c r="M14" s="128">
        <f t="shared" si="0"/>
        <v>189628881</v>
      </c>
      <c r="N14" s="128">
        <f t="shared" si="0"/>
        <v>152384117</v>
      </c>
    </row>
    <row r="15" spans="2:14">
      <c r="B15" s="121"/>
      <c r="C15" s="122"/>
      <c r="D15" s="123"/>
      <c r="E15" s="124"/>
    </row>
  </sheetData>
  <mergeCells count="1">
    <mergeCell ref="B2:N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618"/>
  <sheetViews>
    <sheetView showGridLines="0" zoomScale="70" zoomScaleNormal="70" workbookViewId="0">
      <pane ySplit="1" topLeftCell="A2" activePane="bottomLeft" state="frozen"/>
      <selection activeCell="F76" activeCellId="1" sqref="B43 F76"/>
      <selection pane="bottomLeft" activeCell="U11" sqref="U11"/>
    </sheetView>
  </sheetViews>
  <sheetFormatPr baseColWidth="10" defaultColWidth="12.44140625" defaultRowHeight="13.8"/>
  <cols>
    <col min="1" max="1" width="14.5546875" style="228" customWidth="1"/>
    <col min="2" max="2" width="19.21875" style="228" bestFit="1" customWidth="1"/>
    <col min="3" max="3" width="19.5546875" style="230" customWidth="1"/>
    <col min="4" max="4" width="19.5546875" style="231" bestFit="1" customWidth="1"/>
    <col min="5" max="5" width="16" style="231" customWidth="1"/>
    <col min="6" max="6" width="28.5546875" style="230" bestFit="1" customWidth="1"/>
    <col min="7" max="7" width="9" style="230" bestFit="1" customWidth="1"/>
    <col min="8" max="8" width="15.5546875" style="230" customWidth="1"/>
    <col min="9" max="9" width="8.44140625" style="230" bestFit="1" customWidth="1"/>
    <col min="10" max="10" width="14" style="230" customWidth="1"/>
    <col min="11" max="11" width="20.44140625" style="230" bestFit="1" customWidth="1"/>
    <col min="12" max="12" width="10.44140625" style="230" customWidth="1"/>
    <col min="13" max="13" width="22" style="230" customWidth="1"/>
    <col min="14" max="14" width="19.77734375" style="230" customWidth="1"/>
    <col min="15" max="15" width="12.5546875" style="230" customWidth="1"/>
    <col min="16" max="16" width="13.5546875" style="230" customWidth="1"/>
    <col min="17" max="17" width="14.21875" style="230" customWidth="1"/>
    <col min="18" max="18" width="9" style="230" customWidth="1"/>
    <col min="19" max="19" width="14.77734375" style="230" customWidth="1"/>
    <col min="20" max="20" width="15.77734375" style="232" bestFit="1" customWidth="1"/>
    <col min="21" max="21" width="8.44140625" style="230" bestFit="1" customWidth="1"/>
    <col min="22" max="22" width="11.44140625" style="230" bestFit="1" customWidth="1"/>
    <col min="23" max="23" width="16.5546875" style="230" customWidth="1"/>
    <col min="24" max="24" width="19.21875" style="230" customWidth="1"/>
    <col min="25" max="25" width="17.21875" style="230" customWidth="1"/>
    <col min="26" max="26" width="16.21875" style="230" customWidth="1"/>
    <col min="27" max="27" width="8.5546875" style="230" customWidth="1"/>
    <col min="28" max="28" width="13" style="229" customWidth="1"/>
    <col min="29" max="29" width="16.44140625" style="229" bestFit="1" customWidth="1"/>
    <col min="30" max="30" width="18.5546875" style="230" customWidth="1"/>
    <col min="31" max="31" width="13.44140625" style="230" customWidth="1"/>
    <col min="32" max="32" width="10.44140625" style="230" customWidth="1"/>
    <col min="33" max="33" width="12.5546875" style="230" customWidth="1"/>
    <col min="34" max="34" width="12.44140625" style="230" customWidth="1"/>
    <col min="35" max="35" width="18.44140625" style="230" bestFit="1" customWidth="1"/>
    <col min="36" max="36" width="20.5546875" style="230" customWidth="1"/>
    <col min="37" max="37" width="10.5546875" style="230" customWidth="1"/>
    <col min="38" max="38" width="13.77734375" style="230" bestFit="1" customWidth="1"/>
    <col min="39" max="39" width="112.5546875" style="230" bestFit="1" customWidth="1"/>
    <col min="40" max="40" width="11.5546875" style="230" bestFit="1" customWidth="1"/>
    <col min="41" max="41" width="18.5546875" style="230" customWidth="1"/>
    <col min="42" max="42" width="18.5546875" style="232" customWidth="1"/>
    <col min="43" max="43" width="19.5546875" style="230" bestFit="1" customWidth="1"/>
    <col min="44" max="16384" width="12.44140625" style="230"/>
  </cols>
  <sheetData>
    <row r="1" spans="1:43" s="227" customFormat="1" ht="29.55" customHeight="1">
      <c r="A1" s="222" t="s">
        <v>233</v>
      </c>
      <c r="B1" s="222" t="s">
        <v>234</v>
      </c>
      <c r="C1" s="222" t="s">
        <v>235</v>
      </c>
      <c r="D1" s="309" t="s">
        <v>141</v>
      </c>
      <c r="E1" s="309" t="s">
        <v>236</v>
      </c>
      <c r="F1" s="222" t="s">
        <v>237</v>
      </c>
      <c r="G1" s="222" t="s">
        <v>238</v>
      </c>
      <c r="H1" s="222" t="s">
        <v>239</v>
      </c>
      <c r="I1" s="222" t="s">
        <v>240</v>
      </c>
      <c r="J1" s="222" t="s">
        <v>241</v>
      </c>
      <c r="K1" s="222" t="s">
        <v>242</v>
      </c>
      <c r="L1" s="222" t="s">
        <v>243</v>
      </c>
      <c r="M1" s="222" t="s">
        <v>244</v>
      </c>
      <c r="N1" s="222" t="s">
        <v>245</v>
      </c>
      <c r="O1" s="222" t="s">
        <v>246</v>
      </c>
      <c r="P1" s="222" t="s">
        <v>247</v>
      </c>
      <c r="Q1" s="222" t="s">
        <v>248</v>
      </c>
      <c r="R1" s="222" t="s">
        <v>249</v>
      </c>
      <c r="S1" s="222" t="s">
        <v>250</v>
      </c>
      <c r="T1" s="223" t="s">
        <v>251</v>
      </c>
      <c r="U1" s="222" t="s">
        <v>252</v>
      </c>
      <c r="V1" s="222" t="s">
        <v>253</v>
      </c>
      <c r="W1" s="222" t="s">
        <v>254</v>
      </c>
      <c r="X1" s="222" t="s">
        <v>255</v>
      </c>
      <c r="Y1" s="222" t="s">
        <v>256</v>
      </c>
      <c r="Z1" s="222" t="s">
        <v>257</v>
      </c>
      <c r="AA1" s="222" t="s">
        <v>258</v>
      </c>
      <c r="AB1" s="222" t="s">
        <v>259</v>
      </c>
      <c r="AC1" s="222" t="s">
        <v>260</v>
      </c>
      <c r="AD1" s="222" t="s">
        <v>261</v>
      </c>
      <c r="AE1" s="222" t="s">
        <v>262</v>
      </c>
      <c r="AF1" s="222" t="s">
        <v>263</v>
      </c>
      <c r="AG1" s="222" t="s">
        <v>264</v>
      </c>
      <c r="AH1" s="222" t="s">
        <v>265</v>
      </c>
      <c r="AI1" s="222" t="s">
        <v>266</v>
      </c>
      <c r="AJ1" s="224" t="s">
        <v>267</v>
      </c>
      <c r="AK1" s="224" t="s">
        <v>268</v>
      </c>
      <c r="AL1" s="224" t="s">
        <v>269</v>
      </c>
      <c r="AM1" s="224" t="s">
        <v>270</v>
      </c>
      <c r="AN1" s="222" t="s">
        <v>271</v>
      </c>
      <c r="AO1" s="225" t="s">
        <v>272</v>
      </c>
      <c r="AP1" s="226" t="s">
        <v>84</v>
      </c>
      <c r="AQ1" s="225" t="s">
        <v>75</v>
      </c>
    </row>
    <row r="2" spans="1:43" ht="13.8" customHeight="1">
      <c r="A2" s="228">
        <v>1</v>
      </c>
      <c r="B2" s="229" t="s">
        <v>273</v>
      </c>
      <c r="C2" s="230" t="s">
        <v>274</v>
      </c>
      <c r="D2" s="231">
        <v>45314</v>
      </c>
      <c r="E2" s="231">
        <v>45314</v>
      </c>
      <c r="F2" s="230" t="s">
        <v>274</v>
      </c>
      <c r="G2" s="228" t="s">
        <v>275</v>
      </c>
      <c r="I2" s="230">
        <v>2</v>
      </c>
      <c r="J2" s="228" t="s">
        <v>276</v>
      </c>
      <c r="K2" s="230">
        <v>1533010002</v>
      </c>
      <c r="T2" s="232">
        <v>3499600</v>
      </c>
      <c r="U2" s="229" t="s">
        <v>277</v>
      </c>
      <c r="AC2" s="229" t="s">
        <v>278</v>
      </c>
      <c r="AF2">
        <v>20230531</v>
      </c>
      <c r="AI2" s="233">
        <v>20230531</v>
      </c>
      <c r="AJ2">
        <v>8903030935</v>
      </c>
      <c r="AL2"/>
      <c r="AM2" s="230" t="s">
        <v>279</v>
      </c>
      <c r="AO2" s="234">
        <v>0</v>
      </c>
      <c r="AP2" s="232">
        <f>+ABS(T2)</f>
        <v>3499600</v>
      </c>
      <c r="AQ2" s="230">
        <f>+MONTH(D2)</f>
        <v>1</v>
      </c>
    </row>
    <row r="3" spans="1:43" ht="13.8" customHeight="1">
      <c r="A3" s="228">
        <v>1</v>
      </c>
      <c r="B3" s="229" t="s">
        <v>273</v>
      </c>
      <c r="C3" s="230" t="s">
        <v>280</v>
      </c>
      <c r="D3" s="231">
        <v>45322</v>
      </c>
      <c r="E3" s="231">
        <v>45322</v>
      </c>
      <c r="F3" s="230" t="s">
        <v>281</v>
      </c>
      <c r="G3" s="228" t="s">
        <v>275</v>
      </c>
      <c r="I3" s="230">
        <v>47</v>
      </c>
      <c r="J3" s="228" t="s">
        <v>276</v>
      </c>
      <c r="K3" s="230">
        <v>1533010002</v>
      </c>
      <c r="T3" s="232">
        <v>-39028523</v>
      </c>
      <c r="U3" s="229" t="s">
        <v>277</v>
      </c>
      <c r="AC3" s="229" t="s">
        <v>278</v>
      </c>
      <c r="AF3">
        <v>20240131</v>
      </c>
      <c r="AI3" s="233">
        <v>20240131</v>
      </c>
      <c r="AJ3">
        <v>8001309074</v>
      </c>
      <c r="AL3"/>
      <c r="AM3" s="230" t="s">
        <v>282</v>
      </c>
      <c r="AO3" s="234">
        <v>0</v>
      </c>
      <c r="AP3" s="232">
        <f t="shared" ref="AP3:AP66" si="0">+ABS(T3)</f>
        <v>39028523</v>
      </c>
      <c r="AQ3" s="230">
        <f t="shared" ref="AQ3:AQ66" si="1">+MONTH(D3)</f>
        <v>1</v>
      </c>
    </row>
    <row r="4" spans="1:43" ht="13.8" customHeight="1">
      <c r="A4" s="228">
        <v>1</v>
      </c>
      <c r="B4" s="229" t="s">
        <v>273</v>
      </c>
      <c r="C4" s="230" t="s">
        <v>280</v>
      </c>
      <c r="D4" s="231">
        <v>45322</v>
      </c>
      <c r="E4" s="231">
        <v>45322</v>
      </c>
      <c r="F4" s="230" t="s">
        <v>281</v>
      </c>
      <c r="G4" s="228" t="s">
        <v>275</v>
      </c>
      <c r="I4" s="230">
        <v>48</v>
      </c>
      <c r="J4" s="228" t="s">
        <v>276</v>
      </c>
      <c r="K4" s="230">
        <v>1533010002</v>
      </c>
      <c r="T4" s="232">
        <v>-46914091</v>
      </c>
      <c r="U4" s="229" t="s">
        <v>277</v>
      </c>
      <c r="AC4" s="229" t="s">
        <v>278</v>
      </c>
      <c r="AF4">
        <v>20240131</v>
      </c>
      <c r="AI4" s="233">
        <v>20240131</v>
      </c>
      <c r="AJ4">
        <v>8002514406</v>
      </c>
      <c r="AL4"/>
      <c r="AM4" s="230" t="s">
        <v>283</v>
      </c>
      <c r="AO4" s="234" t="s">
        <v>115</v>
      </c>
      <c r="AP4" s="232">
        <f t="shared" si="0"/>
        <v>46914091</v>
      </c>
      <c r="AQ4" s="230">
        <f t="shared" si="1"/>
        <v>1</v>
      </c>
    </row>
    <row r="5" spans="1:43" ht="13.8" customHeight="1">
      <c r="A5" s="228">
        <v>1</v>
      </c>
      <c r="B5" s="229" t="s">
        <v>273</v>
      </c>
      <c r="C5" s="230" t="s">
        <v>280</v>
      </c>
      <c r="D5" s="231">
        <v>45322</v>
      </c>
      <c r="E5" s="231">
        <v>45322</v>
      </c>
      <c r="F5" s="230" t="s">
        <v>281</v>
      </c>
      <c r="G5" s="228" t="s">
        <v>275</v>
      </c>
      <c r="I5" s="230">
        <v>49</v>
      </c>
      <c r="J5" s="228" t="s">
        <v>276</v>
      </c>
      <c r="K5" s="230">
        <v>1533010002</v>
      </c>
      <c r="T5" s="232">
        <v>-3962995</v>
      </c>
      <c r="U5" s="229" t="s">
        <v>277</v>
      </c>
      <c r="AC5" s="229" t="s">
        <v>278</v>
      </c>
      <c r="AF5">
        <v>20240131</v>
      </c>
      <c r="AI5" s="233">
        <v>20240131</v>
      </c>
      <c r="AJ5">
        <v>8050011572</v>
      </c>
      <c r="AL5"/>
      <c r="AM5" s="230" t="s">
        <v>284</v>
      </c>
      <c r="AO5" s="234">
        <v>0</v>
      </c>
      <c r="AP5" s="232">
        <f t="shared" si="0"/>
        <v>3962995</v>
      </c>
      <c r="AQ5" s="230">
        <f t="shared" si="1"/>
        <v>1</v>
      </c>
    </row>
    <row r="6" spans="1:43" ht="13.8" customHeight="1">
      <c r="A6" s="228">
        <v>1</v>
      </c>
      <c r="B6" s="229" t="s">
        <v>273</v>
      </c>
      <c r="C6" s="230" t="s">
        <v>280</v>
      </c>
      <c r="D6" s="231">
        <v>45322</v>
      </c>
      <c r="E6" s="231">
        <v>45322</v>
      </c>
      <c r="F6" s="230" t="s">
        <v>281</v>
      </c>
      <c r="G6" s="228" t="s">
        <v>275</v>
      </c>
      <c r="I6" s="230">
        <v>50</v>
      </c>
      <c r="J6" s="228" t="s">
        <v>276</v>
      </c>
      <c r="K6" s="230">
        <v>1533010002</v>
      </c>
      <c r="T6" s="232">
        <v>-1121343</v>
      </c>
      <c r="U6" s="229" t="s">
        <v>277</v>
      </c>
      <c r="AC6" s="229" t="s">
        <v>278</v>
      </c>
      <c r="AF6">
        <v>20240131</v>
      </c>
      <c r="AI6" s="233">
        <v>20240131</v>
      </c>
      <c r="AJ6">
        <v>8140003371</v>
      </c>
      <c r="AL6"/>
      <c r="AM6" s="230" t="s">
        <v>285</v>
      </c>
      <c r="AO6" s="234" t="s">
        <v>82</v>
      </c>
      <c r="AP6" s="232">
        <f t="shared" si="0"/>
        <v>1121343</v>
      </c>
      <c r="AQ6" s="230">
        <f t="shared" si="1"/>
        <v>1</v>
      </c>
    </row>
    <row r="7" spans="1:43" ht="13.8" customHeight="1">
      <c r="A7" s="228">
        <v>1</v>
      </c>
      <c r="B7" s="229" t="s">
        <v>273</v>
      </c>
      <c r="C7" s="230" t="s">
        <v>280</v>
      </c>
      <c r="D7" s="231">
        <v>45322</v>
      </c>
      <c r="E7" s="231">
        <v>45322</v>
      </c>
      <c r="F7" s="230" t="s">
        <v>281</v>
      </c>
      <c r="G7" s="228" t="s">
        <v>275</v>
      </c>
      <c r="I7" s="230">
        <v>51</v>
      </c>
      <c r="J7" s="228" t="s">
        <v>276</v>
      </c>
      <c r="K7" s="230">
        <v>1533010002</v>
      </c>
      <c r="T7" s="232">
        <v>-28827471</v>
      </c>
      <c r="U7" s="229" t="s">
        <v>277</v>
      </c>
      <c r="AC7" s="229" t="s">
        <v>278</v>
      </c>
      <c r="AF7">
        <v>20240131</v>
      </c>
      <c r="AI7" s="233">
        <v>20240131</v>
      </c>
      <c r="AJ7">
        <v>8300035647</v>
      </c>
      <c r="AL7"/>
      <c r="AM7" s="230" t="s">
        <v>286</v>
      </c>
      <c r="AO7" s="234" t="s">
        <v>109</v>
      </c>
      <c r="AP7" s="232">
        <f t="shared" si="0"/>
        <v>28827471</v>
      </c>
      <c r="AQ7" s="230">
        <f t="shared" si="1"/>
        <v>1</v>
      </c>
    </row>
    <row r="8" spans="1:43" ht="13.8" customHeight="1">
      <c r="A8" s="228">
        <v>1</v>
      </c>
      <c r="B8" s="229" t="s">
        <v>273</v>
      </c>
      <c r="C8" s="230" t="s">
        <v>280</v>
      </c>
      <c r="D8" s="231">
        <v>45322</v>
      </c>
      <c r="E8" s="231">
        <v>45322</v>
      </c>
      <c r="F8" s="230" t="s">
        <v>281</v>
      </c>
      <c r="G8" s="228" t="s">
        <v>275</v>
      </c>
      <c r="I8" s="230">
        <v>52</v>
      </c>
      <c r="J8" s="228" t="s">
        <v>276</v>
      </c>
      <c r="K8" s="230">
        <v>1533010002</v>
      </c>
      <c r="T8" s="232">
        <v>-1342499</v>
      </c>
      <c r="U8" s="229" t="s">
        <v>277</v>
      </c>
      <c r="AC8" s="229" t="s">
        <v>278</v>
      </c>
      <c r="AF8">
        <v>20240131</v>
      </c>
      <c r="AI8" s="233">
        <v>20240131</v>
      </c>
      <c r="AJ8">
        <v>8301138310</v>
      </c>
      <c r="AL8"/>
      <c r="AM8" s="230" t="s">
        <v>287</v>
      </c>
      <c r="AO8" s="234">
        <v>0</v>
      </c>
      <c r="AP8" s="232">
        <f t="shared" si="0"/>
        <v>1342499</v>
      </c>
      <c r="AQ8" s="230">
        <f t="shared" si="1"/>
        <v>1</v>
      </c>
    </row>
    <row r="9" spans="1:43" ht="13.8" customHeight="1">
      <c r="A9" s="228">
        <v>1</v>
      </c>
      <c r="B9" s="229" t="s">
        <v>273</v>
      </c>
      <c r="C9" s="230" t="s">
        <v>280</v>
      </c>
      <c r="D9" s="231">
        <v>45322</v>
      </c>
      <c r="E9" s="231">
        <v>45322</v>
      </c>
      <c r="F9" s="230" t="s">
        <v>281</v>
      </c>
      <c r="G9" s="228" t="s">
        <v>275</v>
      </c>
      <c r="I9" s="230">
        <v>53</v>
      </c>
      <c r="J9" s="228" t="s">
        <v>276</v>
      </c>
      <c r="K9" s="230">
        <v>1533010002</v>
      </c>
      <c r="T9" s="232">
        <v>-15946683</v>
      </c>
      <c r="U9" s="229" t="s">
        <v>277</v>
      </c>
      <c r="AC9" s="229" t="s">
        <v>278</v>
      </c>
      <c r="AF9">
        <v>20240131</v>
      </c>
      <c r="AI9" s="233">
        <v>20240131</v>
      </c>
      <c r="AJ9">
        <v>8600021839</v>
      </c>
      <c r="AL9"/>
      <c r="AM9" s="230" t="s">
        <v>288</v>
      </c>
      <c r="AO9" s="234">
        <v>0</v>
      </c>
      <c r="AP9" s="232">
        <f t="shared" si="0"/>
        <v>15946683</v>
      </c>
      <c r="AQ9" s="230">
        <f t="shared" si="1"/>
        <v>1</v>
      </c>
    </row>
    <row r="10" spans="1:43" ht="13.8" customHeight="1">
      <c r="A10" s="228">
        <v>1</v>
      </c>
      <c r="B10" s="229" t="s">
        <v>273</v>
      </c>
      <c r="C10" s="230" t="s">
        <v>280</v>
      </c>
      <c r="D10" s="231">
        <v>45322</v>
      </c>
      <c r="E10" s="231">
        <v>45322</v>
      </c>
      <c r="F10" s="230" t="s">
        <v>281</v>
      </c>
      <c r="G10" s="228" t="s">
        <v>275</v>
      </c>
      <c r="I10" s="230">
        <v>54</v>
      </c>
      <c r="J10" s="228" t="s">
        <v>276</v>
      </c>
      <c r="K10" s="230">
        <v>1533010002</v>
      </c>
      <c r="T10" s="232">
        <v>-8401543</v>
      </c>
      <c r="U10" s="229" t="s">
        <v>277</v>
      </c>
      <c r="AC10" s="229" t="s">
        <v>278</v>
      </c>
      <c r="AF10">
        <v>20240131</v>
      </c>
      <c r="AI10" s="233">
        <v>20240131</v>
      </c>
      <c r="AJ10">
        <v>8600669427</v>
      </c>
      <c r="AL10"/>
      <c r="AM10" s="230" t="s">
        <v>289</v>
      </c>
      <c r="AO10" s="234" t="s">
        <v>101</v>
      </c>
      <c r="AP10" s="232">
        <f t="shared" si="0"/>
        <v>8401543</v>
      </c>
      <c r="AQ10" s="230">
        <f t="shared" si="1"/>
        <v>1</v>
      </c>
    </row>
    <row r="11" spans="1:43" ht="13.8" customHeight="1">
      <c r="A11" s="228">
        <v>1</v>
      </c>
      <c r="B11" s="229" t="s">
        <v>273</v>
      </c>
      <c r="C11" s="230" t="s">
        <v>280</v>
      </c>
      <c r="D11" s="231">
        <v>45322</v>
      </c>
      <c r="E11" s="231">
        <v>45322</v>
      </c>
      <c r="F11" s="230" t="s">
        <v>281</v>
      </c>
      <c r="G11" s="228" t="s">
        <v>275</v>
      </c>
      <c r="I11" s="230">
        <v>55</v>
      </c>
      <c r="J11" s="228" t="s">
        <v>276</v>
      </c>
      <c r="K11" s="230">
        <v>1533010002</v>
      </c>
      <c r="T11" s="232">
        <v>-40168602</v>
      </c>
      <c r="U11" s="229" t="s">
        <v>277</v>
      </c>
      <c r="AC11" s="229" t="s">
        <v>278</v>
      </c>
      <c r="AF11">
        <v>20240131</v>
      </c>
      <c r="AI11" s="233">
        <v>20240131</v>
      </c>
      <c r="AJ11">
        <v>9001562642</v>
      </c>
      <c r="AL11"/>
      <c r="AM11" s="230" t="s">
        <v>290</v>
      </c>
      <c r="AO11" s="234" t="s">
        <v>111</v>
      </c>
      <c r="AP11" s="232">
        <f t="shared" si="0"/>
        <v>40168602</v>
      </c>
      <c r="AQ11" s="230">
        <f t="shared" si="1"/>
        <v>1</v>
      </c>
    </row>
    <row r="12" spans="1:43" ht="13.8" customHeight="1">
      <c r="A12" s="228">
        <v>1</v>
      </c>
      <c r="B12" s="229" t="s">
        <v>273</v>
      </c>
      <c r="C12" s="230" t="s">
        <v>280</v>
      </c>
      <c r="D12" s="231">
        <v>45322</v>
      </c>
      <c r="E12" s="231">
        <v>45322</v>
      </c>
      <c r="F12" s="230" t="s">
        <v>281</v>
      </c>
      <c r="G12" s="228" t="s">
        <v>275</v>
      </c>
      <c r="I12" s="230">
        <v>56</v>
      </c>
      <c r="J12" s="228" t="s">
        <v>276</v>
      </c>
      <c r="K12" s="230">
        <v>1533010002</v>
      </c>
      <c r="T12" s="232">
        <v>-3623546</v>
      </c>
      <c r="U12" s="229" t="s">
        <v>277</v>
      </c>
      <c r="AC12" s="229" t="s">
        <v>278</v>
      </c>
      <c r="AF12">
        <v>20240131</v>
      </c>
      <c r="AI12" s="233">
        <v>20240131</v>
      </c>
      <c r="AJ12">
        <v>8000887022</v>
      </c>
      <c r="AL12"/>
      <c r="AM12" s="230" t="s">
        <v>291</v>
      </c>
      <c r="AO12" s="234" t="s">
        <v>108</v>
      </c>
      <c r="AP12" s="232">
        <f t="shared" si="0"/>
        <v>3623546</v>
      </c>
      <c r="AQ12" s="230">
        <f t="shared" si="1"/>
        <v>1</v>
      </c>
    </row>
    <row r="13" spans="1:43" ht="13.8" customHeight="1">
      <c r="A13" s="228">
        <v>1</v>
      </c>
      <c r="B13" s="229" t="s">
        <v>273</v>
      </c>
      <c r="C13" s="230" t="s">
        <v>280</v>
      </c>
      <c r="D13" s="231">
        <v>45322</v>
      </c>
      <c r="E13" s="231">
        <v>45322</v>
      </c>
      <c r="F13" s="230" t="s">
        <v>281</v>
      </c>
      <c r="G13" s="228" t="s">
        <v>275</v>
      </c>
      <c r="I13" s="230">
        <v>83</v>
      </c>
      <c r="J13" s="228" t="s">
        <v>276</v>
      </c>
      <c r="K13" s="230">
        <v>1533010002</v>
      </c>
      <c r="T13" s="232">
        <v>-5998997</v>
      </c>
      <c r="U13" s="229" t="s">
        <v>277</v>
      </c>
      <c r="AC13" s="229" t="s">
        <v>278</v>
      </c>
      <c r="AF13">
        <v>20240131</v>
      </c>
      <c r="AI13" s="233">
        <v>20240131</v>
      </c>
      <c r="AJ13">
        <v>8903030935</v>
      </c>
      <c r="AL13"/>
      <c r="AM13" s="230" t="s">
        <v>99</v>
      </c>
      <c r="AO13" s="234">
        <v>0</v>
      </c>
      <c r="AP13" s="232">
        <f t="shared" si="0"/>
        <v>5998997</v>
      </c>
      <c r="AQ13" s="230">
        <f t="shared" si="1"/>
        <v>1</v>
      </c>
    </row>
    <row r="14" spans="1:43" ht="13.8" customHeight="1">
      <c r="A14" s="228">
        <v>1</v>
      </c>
      <c r="B14" s="229" t="s">
        <v>273</v>
      </c>
      <c r="C14" s="230" t="s">
        <v>280</v>
      </c>
      <c r="D14" s="231">
        <v>45322</v>
      </c>
      <c r="E14" s="231">
        <v>45322</v>
      </c>
      <c r="F14" s="230" t="s">
        <v>281</v>
      </c>
      <c r="G14" s="228" t="s">
        <v>275</v>
      </c>
      <c r="I14" s="230">
        <v>84</v>
      </c>
      <c r="J14" s="228" t="s">
        <v>276</v>
      </c>
      <c r="K14" s="230">
        <v>1533010002</v>
      </c>
      <c r="T14" s="232">
        <v>-9986886</v>
      </c>
      <c r="U14" s="229" t="s">
        <v>277</v>
      </c>
      <c r="AC14" s="229" t="s">
        <v>278</v>
      </c>
      <c r="AF14">
        <v>20240131</v>
      </c>
      <c r="AI14" s="233">
        <v>20240131</v>
      </c>
      <c r="AJ14">
        <v>8903030935</v>
      </c>
      <c r="AL14"/>
      <c r="AM14" s="230" t="s">
        <v>99</v>
      </c>
      <c r="AO14" s="234">
        <v>0</v>
      </c>
      <c r="AP14" s="232">
        <f t="shared" si="0"/>
        <v>9986886</v>
      </c>
      <c r="AQ14" s="230">
        <f t="shared" si="1"/>
        <v>1</v>
      </c>
    </row>
    <row r="15" spans="1:43" ht="13.8" customHeight="1">
      <c r="A15" s="228">
        <v>1</v>
      </c>
      <c r="B15" s="229" t="s">
        <v>273</v>
      </c>
      <c r="C15" s="230" t="s">
        <v>280</v>
      </c>
      <c r="D15" s="231">
        <v>45322</v>
      </c>
      <c r="E15" s="231">
        <v>45322</v>
      </c>
      <c r="F15" s="230" t="s">
        <v>281</v>
      </c>
      <c r="G15" s="228" t="s">
        <v>275</v>
      </c>
      <c r="I15" s="230">
        <v>85</v>
      </c>
      <c r="J15" s="228" t="s">
        <v>276</v>
      </c>
      <c r="K15" s="230">
        <v>1533010002</v>
      </c>
      <c r="T15" s="232">
        <v>-292472</v>
      </c>
      <c r="U15" s="229" t="s">
        <v>277</v>
      </c>
      <c r="AC15" s="229" t="s">
        <v>278</v>
      </c>
      <c r="AF15">
        <v>20240131</v>
      </c>
      <c r="AI15" s="233">
        <v>20240131</v>
      </c>
      <c r="AJ15">
        <v>8909049961</v>
      </c>
      <c r="AL15"/>
      <c r="AM15" s="230" t="s">
        <v>216</v>
      </c>
      <c r="AO15" s="234">
        <v>0</v>
      </c>
      <c r="AP15" s="232">
        <f t="shared" si="0"/>
        <v>292472</v>
      </c>
      <c r="AQ15" s="230">
        <f t="shared" si="1"/>
        <v>1</v>
      </c>
    </row>
    <row r="16" spans="1:43" ht="13.8" customHeight="1">
      <c r="A16" s="228">
        <v>1</v>
      </c>
      <c r="B16" s="229" t="s">
        <v>273</v>
      </c>
      <c r="C16" s="230" t="s">
        <v>280</v>
      </c>
      <c r="D16" s="231">
        <v>45351</v>
      </c>
      <c r="E16" s="231">
        <v>45351</v>
      </c>
      <c r="F16" s="230" t="s">
        <v>281</v>
      </c>
      <c r="G16" s="228" t="s">
        <v>275</v>
      </c>
      <c r="I16" s="230">
        <v>52</v>
      </c>
      <c r="J16" s="228" t="s">
        <v>276</v>
      </c>
      <c r="K16" s="230">
        <v>1533010002</v>
      </c>
      <c r="T16" s="232">
        <v>-42933257</v>
      </c>
      <c r="U16" s="229" t="s">
        <v>277</v>
      </c>
      <c r="AC16" s="229" t="s">
        <v>278</v>
      </c>
      <c r="AF16">
        <v>20240229</v>
      </c>
      <c r="AI16" s="233">
        <v>20240229</v>
      </c>
      <c r="AJ16">
        <v>8000887022</v>
      </c>
      <c r="AL16"/>
      <c r="AM16" s="230" t="s">
        <v>292</v>
      </c>
      <c r="AO16" s="234" t="s">
        <v>108</v>
      </c>
      <c r="AP16" s="232">
        <f t="shared" si="0"/>
        <v>42933257</v>
      </c>
      <c r="AQ16" s="230">
        <f t="shared" si="1"/>
        <v>2</v>
      </c>
    </row>
    <row r="17" spans="1:43" ht="13.8" customHeight="1">
      <c r="A17" s="228">
        <v>1</v>
      </c>
      <c r="B17" s="229" t="s">
        <v>273</v>
      </c>
      <c r="C17" s="230" t="s">
        <v>280</v>
      </c>
      <c r="D17" s="231">
        <v>45351</v>
      </c>
      <c r="E17" s="231">
        <v>45351</v>
      </c>
      <c r="F17" s="230" t="s">
        <v>281</v>
      </c>
      <c r="G17" s="228" t="s">
        <v>275</v>
      </c>
      <c r="I17" s="230">
        <v>53</v>
      </c>
      <c r="J17" s="228" t="s">
        <v>276</v>
      </c>
      <c r="K17" s="230">
        <v>1533010002</v>
      </c>
      <c r="T17" s="232">
        <v>-2669518</v>
      </c>
      <c r="U17" s="229" t="s">
        <v>277</v>
      </c>
      <c r="AC17" s="229" t="s">
        <v>278</v>
      </c>
      <c r="AF17">
        <v>20240229</v>
      </c>
      <c r="AI17" s="233">
        <v>20240229</v>
      </c>
      <c r="AJ17">
        <v>8001309074</v>
      </c>
      <c r="AL17"/>
      <c r="AM17" s="230" t="s">
        <v>282</v>
      </c>
      <c r="AO17" s="234">
        <v>0</v>
      </c>
      <c r="AP17" s="232">
        <f t="shared" si="0"/>
        <v>2669518</v>
      </c>
      <c r="AQ17" s="230">
        <f t="shared" si="1"/>
        <v>2</v>
      </c>
    </row>
    <row r="18" spans="1:43" ht="13.8" customHeight="1">
      <c r="A18" s="228">
        <v>1</v>
      </c>
      <c r="B18" s="229" t="s">
        <v>273</v>
      </c>
      <c r="C18" s="230" t="s">
        <v>280</v>
      </c>
      <c r="D18" s="231">
        <v>45351</v>
      </c>
      <c r="E18" s="231">
        <v>45351</v>
      </c>
      <c r="F18" s="230" t="s">
        <v>281</v>
      </c>
      <c r="G18" s="228" t="s">
        <v>275</v>
      </c>
      <c r="I18" s="230">
        <v>54</v>
      </c>
      <c r="J18" s="228" t="s">
        <v>276</v>
      </c>
      <c r="K18" s="230">
        <v>1533010002</v>
      </c>
      <c r="T18" s="232">
        <v>-71099032</v>
      </c>
      <c r="U18" s="229" t="s">
        <v>277</v>
      </c>
      <c r="AC18" s="229" t="s">
        <v>278</v>
      </c>
      <c r="AF18">
        <v>20240229</v>
      </c>
      <c r="AI18" s="233">
        <v>20240229</v>
      </c>
      <c r="AJ18">
        <v>8002514406</v>
      </c>
      <c r="AL18"/>
      <c r="AM18" s="230" t="s">
        <v>283</v>
      </c>
      <c r="AO18" s="234" t="s">
        <v>115</v>
      </c>
      <c r="AP18" s="232">
        <f t="shared" si="0"/>
        <v>71099032</v>
      </c>
      <c r="AQ18" s="230">
        <f t="shared" si="1"/>
        <v>2</v>
      </c>
    </row>
    <row r="19" spans="1:43" ht="13.8" customHeight="1">
      <c r="A19" s="228">
        <v>1</v>
      </c>
      <c r="B19" s="229" t="s">
        <v>273</v>
      </c>
      <c r="C19" s="230" t="s">
        <v>280</v>
      </c>
      <c r="D19" s="231">
        <v>45351</v>
      </c>
      <c r="E19" s="231">
        <v>45351</v>
      </c>
      <c r="F19" s="230" t="s">
        <v>281</v>
      </c>
      <c r="G19" s="228" t="s">
        <v>275</v>
      </c>
      <c r="I19" s="230">
        <v>55</v>
      </c>
      <c r="J19" s="228" t="s">
        <v>276</v>
      </c>
      <c r="K19" s="230">
        <v>1533010002</v>
      </c>
      <c r="T19" s="232">
        <v>-997911</v>
      </c>
      <c r="U19" s="229" t="s">
        <v>277</v>
      </c>
      <c r="AC19" s="229" t="s">
        <v>278</v>
      </c>
      <c r="AF19">
        <v>20240229</v>
      </c>
      <c r="AI19" s="233">
        <v>20240229</v>
      </c>
      <c r="AJ19">
        <v>8050011572</v>
      </c>
      <c r="AL19"/>
      <c r="AM19" s="230" t="s">
        <v>284</v>
      </c>
      <c r="AO19" s="234">
        <v>0</v>
      </c>
      <c r="AP19" s="232">
        <f t="shared" si="0"/>
        <v>997911</v>
      </c>
      <c r="AQ19" s="230">
        <f t="shared" si="1"/>
        <v>2</v>
      </c>
    </row>
    <row r="20" spans="1:43" ht="13.8" customHeight="1">
      <c r="A20" s="228">
        <v>1</v>
      </c>
      <c r="B20" s="229" t="s">
        <v>273</v>
      </c>
      <c r="C20" s="230" t="s">
        <v>280</v>
      </c>
      <c r="D20" s="231">
        <v>45351</v>
      </c>
      <c r="E20" s="231">
        <v>45351</v>
      </c>
      <c r="F20" s="230" t="s">
        <v>281</v>
      </c>
      <c r="G20" s="228" t="s">
        <v>275</v>
      </c>
      <c r="I20" s="230">
        <v>56</v>
      </c>
      <c r="J20" s="228" t="s">
        <v>276</v>
      </c>
      <c r="K20" s="230">
        <v>1533010002</v>
      </c>
      <c r="T20" s="232">
        <v>-38667</v>
      </c>
      <c r="U20" s="229" t="s">
        <v>277</v>
      </c>
      <c r="AC20" s="229" t="s">
        <v>278</v>
      </c>
      <c r="AF20">
        <v>20240229</v>
      </c>
      <c r="AI20" s="233">
        <v>20240229</v>
      </c>
      <c r="AJ20">
        <v>8060083947</v>
      </c>
      <c r="AL20"/>
      <c r="AM20" s="230" t="s">
        <v>293</v>
      </c>
      <c r="AO20" s="234">
        <v>0</v>
      </c>
      <c r="AP20" s="232">
        <f t="shared" si="0"/>
        <v>38667</v>
      </c>
      <c r="AQ20" s="230">
        <f t="shared" si="1"/>
        <v>2</v>
      </c>
    </row>
    <row r="21" spans="1:43" ht="13.8" customHeight="1">
      <c r="A21" s="228">
        <v>1</v>
      </c>
      <c r="B21" s="229" t="s">
        <v>273</v>
      </c>
      <c r="C21" s="230" t="s">
        <v>280</v>
      </c>
      <c r="D21" s="231">
        <v>45351</v>
      </c>
      <c r="E21" s="231">
        <v>45351</v>
      </c>
      <c r="F21" s="230" t="s">
        <v>281</v>
      </c>
      <c r="G21" s="228" t="s">
        <v>275</v>
      </c>
      <c r="I21" s="230">
        <v>57</v>
      </c>
      <c r="J21" s="228" t="s">
        <v>276</v>
      </c>
      <c r="K21" s="230">
        <v>1533010002</v>
      </c>
      <c r="T21" s="232">
        <v>-2325361</v>
      </c>
      <c r="U21" s="229" t="s">
        <v>277</v>
      </c>
      <c r="AC21" s="229" t="s">
        <v>278</v>
      </c>
      <c r="AF21">
        <v>20240229</v>
      </c>
      <c r="AI21" s="233">
        <v>20240229</v>
      </c>
      <c r="AJ21">
        <v>8140003371</v>
      </c>
      <c r="AL21"/>
      <c r="AM21" s="230" t="s">
        <v>285</v>
      </c>
      <c r="AO21" s="234" t="s">
        <v>82</v>
      </c>
      <c r="AP21" s="232">
        <f t="shared" si="0"/>
        <v>2325361</v>
      </c>
      <c r="AQ21" s="230">
        <f t="shared" si="1"/>
        <v>2</v>
      </c>
    </row>
    <row r="22" spans="1:43" ht="13.8" customHeight="1">
      <c r="A22" s="228">
        <v>1</v>
      </c>
      <c r="B22" s="229" t="s">
        <v>273</v>
      </c>
      <c r="C22" s="230" t="s">
        <v>280</v>
      </c>
      <c r="D22" s="231">
        <v>45351</v>
      </c>
      <c r="E22" s="231">
        <v>45351</v>
      </c>
      <c r="F22" s="230" t="s">
        <v>281</v>
      </c>
      <c r="G22" s="228" t="s">
        <v>275</v>
      </c>
      <c r="I22" s="230">
        <v>58</v>
      </c>
      <c r="J22" s="228" t="s">
        <v>276</v>
      </c>
      <c r="K22" s="230">
        <v>1533010002</v>
      </c>
      <c r="T22" s="232">
        <v>-17170822</v>
      </c>
      <c r="U22" s="229" t="s">
        <v>277</v>
      </c>
      <c r="AC22" s="229" t="s">
        <v>278</v>
      </c>
      <c r="AF22">
        <v>20240229</v>
      </c>
      <c r="AI22" s="233">
        <v>20240229</v>
      </c>
      <c r="AJ22">
        <v>8300035647</v>
      </c>
      <c r="AL22"/>
      <c r="AM22" s="230" t="s">
        <v>286</v>
      </c>
      <c r="AO22" s="234" t="s">
        <v>109</v>
      </c>
      <c r="AP22" s="232">
        <f t="shared" si="0"/>
        <v>17170822</v>
      </c>
      <c r="AQ22" s="230">
        <f t="shared" si="1"/>
        <v>2</v>
      </c>
    </row>
    <row r="23" spans="1:43" ht="13.8" customHeight="1">
      <c r="A23" s="228">
        <v>1</v>
      </c>
      <c r="B23" s="229" t="s">
        <v>273</v>
      </c>
      <c r="C23" s="230" t="s">
        <v>280</v>
      </c>
      <c r="D23" s="231">
        <v>45351</v>
      </c>
      <c r="E23" s="231">
        <v>45351</v>
      </c>
      <c r="F23" s="230" t="s">
        <v>281</v>
      </c>
      <c r="G23" s="228" t="s">
        <v>275</v>
      </c>
      <c r="I23" s="230">
        <v>59</v>
      </c>
      <c r="J23" s="228" t="s">
        <v>276</v>
      </c>
      <c r="K23" s="230">
        <v>1533010002</v>
      </c>
      <c r="T23" s="232">
        <v>-16967412</v>
      </c>
      <c r="U23" s="229" t="s">
        <v>277</v>
      </c>
      <c r="AC23" s="229" t="s">
        <v>278</v>
      </c>
      <c r="AF23">
        <v>20240229</v>
      </c>
      <c r="AI23" s="233">
        <v>20240229</v>
      </c>
      <c r="AJ23">
        <v>8301138310</v>
      </c>
      <c r="AL23"/>
      <c r="AM23" s="230" t="s">
        <v>287</v>
      </c>
      <c r="AO23" s="234">
        <v>0</v>
      </c>
      <c r="AP23" s="232">
        <f t="shared" si="0"/>
        <v>16967412</v>
      </c>
      <c r="AQ23" s="230">
        <f t="shared" si="1"/>
        <v>2</v>
      </c>
    </row>
    <row r="24" spans="1:43" ht="13.8" customHeight="1">
      <c r="A24" s="228">
        <v>1</v>
      </c>
      <c r="B24" s="229" t="s">
        <v>273</v>
      </c>
      <c r="C24" s="230" t="s">
        <v>280</v>
      </c>
      <c r="D24" s="231">
        <v>45351</v>
      </c>
      <c r="E24" s="231">
        <v>45351</v>
      </c>
      <c r="F24" s="230" t="s">
        <v>281</v>
      </c>
      <c r="G24" s="228" t="s">
        <v>275</v>
      </c>
      <c r="I24" s="230">
        <v>60</v>
      </c>
      <c r="J24" s="228" t="s">
        <v>276</v>
      </c>
      <c r="K24" s="230">
        <v>1533010002</v>
      </c>
      <c r="T24" s="232">
        <v>-14573203</v>
      </c>
      <c r="U24" s="229" t="s">
        <v>277</v>
      </c>
      <c r="AC24" s="229" t="s">
        <v>278</v>
      </c>
      <c r="AF24">
        <v>20240229</v>
      </c>
      <c r="AI24" s="233">
        <v>20240229</v>
      </c>
      <c r="AJ24">
        <v>8600021839</v>
      </c>
      <c r="AL24"/>
      <c r="AM24" s="230" t="s">
        <v>288</v>
      </c>
      <c r="AO24" s="234">
        <v>0</v>
      </c>
      <c r="AP24" s="232">
        <f t="shared" si="0"/>
        <v>14573203</v>
      </c>
      <c r="AQ24" s="230">
        <f t="shared" si="1"/>
        <v>2</v>
      </c>
    </row>
    <row r="25" spans="1:43" ht="13.8" customHeight="1">
      <c r="A25" s="228">
        <v>1</v>
      </c>
      <c r="B25" s="229" t="s">
        <v>273</v>
      </c>
      <c r="C25" s="230" t="s">
        <v>280</v>
      </c>
      <c r="D25" s="231">
        <v>45351</v>
      </c>
      <c r="E25" s="231">
        <v>45351</v>
      </c>
      <c r="F25" s="230" t="s">
        <v>281</v>
      </c>
      <c r="G25" s="228" t="s">
        <v>275</v>
      </c>
      <c r="I25" s="230">
        <v>61</v>
      </c>
      <c r="J25" s="228" t="s">
        <v>276</v>
      </c>
      <c r="K25" s="230">
        <v>1533010002</v>
      </c>
      <c r="T25" s="232">
        <v>-3510825</v>
      </c>
      <c r="U25" s="229" t="s">
        <v>277</v>
      </c>
      <c r="AC25" s="229" t="s">
        <v>278</v>
      </c>
      <c r="AF25">
        <v>20240229</v>
      </c>
      <c r="AI25" s="233">
        <v>20240229</v>
      </c>
      <c r="AJ25">
        <v>8600669427</v>
      </c>
      <c r="AL25"/>
      <c r="AM25" s="230" t="s">
        <v>289</v>
      </c>
      <c r="AO25" s="234" t="s">
        <v>101</v>
      </c>
      <c r="AP25" s="232">
        <f t="shared" si="0"/>
        <v>3510825</v>
      </c>
      <c r="AQ25" s="230">
        <f t="shared" si="1"/>
        <v>2</v>
      </c>
    </row>
    <row r="26" spans="1:43" ht="13.8" customHeight="1">
      <c r="A26" s="228">
        <v>1</v>
      </c>
      <c r="B26" s="229" t="s">
        <v>273</v>
      </c>
      <c r="C26" s="230" t="s">
        <v>280</v>
      </c>
      <c r="D26" s="231">
        <v>45351</v>
      </c>
      <c r="E26" s="231">
        <v>45351</v>
      </c>
      <c r="F26" s="230" t="s">
        <v>281</v>
      </c>
      <c r="G26" s="228" t="s">
        <v>275</v>
      </c>
      <c r="I26" s="230">
        <v>62</v>
      </c>
      <c r="J26" s="228" t="s">
        <v>276</v>
      </c>
      <c r="K26" s="230">
        <v>1533010002</v>
      </c>
      <c r="T26" s="232">
        <v>-40155599</v>
      </c>
      <c r="U26" s="229" t="s">
        <v>277</v>
      </c>
      <c r="AC26" s="229" t="s">
        <v>278</v>
      </c>
      <c r="AF26">
        <v>20240229</v>
      </c>
      <c r="AI26" s="233">
        <v>20240229</v>
      </c>
      <c r="AJ26">
        <v>9001562642</v>
      </c>
      <c r="AL26"/>
      <c r="AM26" s="230" t="s">
        <v>290</v>
      </c>
      <c r="AO26" s="234" t="s">
        <v>111</v>
      </c>
      <c r="AP26" s="232">
        <f t="shared" si="0"/>
        <v>40155599</v>
      </c>
      <c r="AQ26" s="230">
        <f t="shared" si="1"/>
        <v>2</v>
      </c>
    </row>
    <row r="27" spans="1:43" ht="13.8" customHeight="1">
      <c r="A27" s="228">
        <v>1</v>
      </c>
      <c r="B27" s="229" t="s">
        <v>273</v>
      </c>
      <c r="C27" s="230" t="s">
        <v>280</v>
      </c>
      <c r="D27" s="231">
        <v>45351</v>
      </c>
      <c r="E27" s="231">
        <v>45351</v>
      </c>
      <c r="F27" s="230" t="s">
        <v>281</v>
      </c>
      <c r="G27" s="228" t="s">
        <v>275</v>
      </c>
      <c r="I27" s="230">
        <v>63</v>
      </c>
      <c r="J27" s="228" t="s">
        <v>276</v>
      </c>
      <c r="K27" s="230">
        <v>1533010002</v>
      </c>
      <c r="T27" s="232">
        <v>-116001</v>
      </c>
      <c r="U27" s="229" t="s">
        <v>277</v>
      </c>
      <c r="AC27" s="229" t="s">
        <v>278</v>
      </c>
      <c r="AF27">
        <v>20240229</v>
      </c>
      <c r="AI27" s="233">
        <v>20240229</v>
      </c>
      <c r="AJ27">
        <v>9002983729</v>
      </c>
      <c r="AL27"/>
      <c r="AM27" s="230" t="s">
        <v>294</v>
      </c>
      <c r="AO27" s="234">
        <v>0</v>
      </c>
      <c r="AP27" s="232">
        <f t="shared" si="0"/>
        <v>116001</v>
      </c>
      <c r="AQ27" s="230">
        <f t="shared" si="1"/>
        <v>2</v>
      </c>
    </row>
    <row r="28" spans="1:43" ht="13.8" customHeight="1">
      <c r="A28" s="228">
        <v>1</v>
      </c>
      <c r="B28" s="229" t="s">
        <v>273</v>
      </c>
      <c r="C28" s="230" t="s">
        <v>280</v>
      </c>
      <c r="D28" s="231">
        <v>45351</v>
      </c>
      <c r="E28" s="231">
        <v>45351</v>
      </c>
      <c r="F28" s="230" t="s">
        <v>281</v>
      </c>
      <c r="G28" s="228" t="s">
        <v>275</v>
      </c>
      <c r="I28" s="230">
        <v>64</v>
      </c>
      <c r="J28" s="228" t="s">
        <v>276</v>
      </c>
      <c r="K28" s="230">
        <v>1533010002</v>
      </c>
      <c r="T28" s="232">
        <v>-1237344</v>
      </c>
      <c r="U28" s="229" t="s">
        <v>277</v>
      </c>
      <c r="AC28" s="229" t="s">
        <v>278</v>
      </c>
      <c r="AF28">
        <v>20240229</v>
      </c>
      <c r="AI28" s="233">
        <v>20240229</v>
      </c>
      <c r="AJ28">
        <v>9006043500</v>
      </c>
      <c r="AL28"/>
      <c r="AM28" s="230" t="s">
        <v>295</v>
      </c>
      <c r="AO28" s="234">
        <v>0</v>
      </c>
      <c r="AP28" s="232">
        <f t="shared" si="0"/>
        <v>1237344</v>
      </c>
      <c r="AQ28" s="230">
        <f t="shared" si="1"/>
        <v>2</v>
      </c>
    </row>
    <row r="29" spans="1:43" ht="13.8" customHeight="1">
      <c r="A29" s="228">
        <v>1</v>
      </c>
      <c r="B29" s="229" t="s">
        <v>273</v>
      </c>
      <c r="C29" s="230" t="s">
        <v>280</v>
      </c>
      <c r="D29" s="231">
        <v>45351</v>
      </c>
      <c r="E29" s="231">
        <v>45351</v>
      </c>
      <c r="F29" s="230" t="s">
        <v>281</v>
      </c>
      <c r="G29" s="228" t="s">
        <v>275</v>
      </c>
      <c r="I29" s="230">
        <v>65</v>
      </c>
      <c r="J29" s="228" t="s">
        <v>276</v>
      </c>
      <c r="K29" s="230">
        <v>1533010002</v>
      </c>
      <c r="T29" s="232">
        <v>-10671015</v>
      </c>
      <c r="U29" s="229" t="s">
        <v>277</v>
      </c>
      <c r="AC29" s="229" t="s">
        <v>278</v>
      </c>
      <c r="AF29">
        <v>20240229</v>
      </c>
      <c r="AI29" s="233">
        <v>20240229</v>
      </c>
      <c r="AJ29">
        <v>9009142541</v>
      </c>
      <c r="AL29"/>
      <c r="AM29" s="230" t="s">
        <v>296</v>
      </c>
      <c r="AO29" s="234">
        <v>0</v>
      </c>
      <c r="AP29" s="232">
        <f t="shared" si="0"/>
        <v>10671015</v>
      </c>
      <c r="AQ29" s="230">
        <f t="shared" si="1"/>
        <v>2</v>
      </c>
    </row>
    <row r="30" spans="1:43" ht="13.8" customHeight="1">
      <c r="A30" s="228">
        <v>4</v>
      </c>
      <c r="B30" s="229" t="s">
        <v>273</v>
      </c>
      <c r="C30" s="230" t="s">
        <v>280</v>
      </c>
      <c r="D30" s="231">
        <v>45382</v>
      </c>
      <c r="E30" s="231">
        <v>45382</v>
      </c>
      <c r="F30" s="230" t="s">
        <v>281</v>
      </c>
      <c r="G30" s="228" t="s">
        <v>275</v>
      </c>
      <c r="I30" s="230">
        <v>237</v>
      </c>
      <c r="J30" s="228" t="s">
        <v>276</v>
      </c>
      <c r="K30" s="230">
        <v>1533010002</v>
      </c>
      <c r="T30" s="232">
        <v>-12209087</v>
      </c>
      <c r="U30" s="229" t="s">
        <v>277</v>
      </c>
      <c r="AC30" s="229" t="s">
        <v>278</v>
      </c>
      <c r="AF30">
        <v>20240331</v>
      </c>
      <c r="AI30" s="233">
        <v>20240331</v>
      </c>
      <c r="AJ30">
        <v>8000887022</v>
      </c>
      <c r="AL30"/>
      <c r="AM30" s="230" t="s">
        <v>292</v>
      </c>
      <c r="AO30" s="234" t="s">
        <v>108</v>
      </c>
      <c r="AP30" s="232">
        <f t="shared" si="0"/>
        <v>12209087</v>
      </c>
      <c r="AQ30" s="230">
        <f t="shared" si="1"/>
        <v>3</v>
      </c>
    </row>
    <row r="31" spans="1:43" ht="13.8" customHeight="1">
      <c r="A31" s="228">
        <v>4</v>
      </c>
      <c r="B31" s="229" t="s">
        <v>273</v>
      </c>
      <c r="C31" s="230" t="s">
        <v>280</v>
      </c>
      <c r="D31" s="231">
        <v>45382</v>
      </c>
      <c r="E31" s="231">
        <v>45382</v>
      </c>
      <c r="F31" s="230" t="s">
        <v>281</v>
      </c>
      <c r="G31" s="228" t="s">
        <v>275</v>
      </c>
      <c r="I31" s="230">
        <v>238</v>
      </c>
      <c r="J31" s="228" t="s">
        <v>276</v>
      </c>
      <c r="K31" s="230">
        <v>1533010002</v>
      </c>
      <c r="T31" s="232">
        <v>-6504524</v>
      </c>
      <c r="U31" s="229" t="s">
        <v>277</v>
      </c>
      <c r="AC31" s="229" t="s">
        <v>278</v>
      </c>
      <c r="AF31">
        <v>20240331</v>
      </c>
      <c r="AI31" s="233">
        <v>20240331</v>
      </c>
      <c r="AJ31">
        <v>8001309074</v>
      </c>
      <c r="AL31"/>
      <c r="AM31" s="230" t="s">
        <v>282</v>
      </c>
      <c r="AO31" s="234">
        <v>0</v>
      </c>
      <c r="AP31" s="232">
        <f t="shared" si="0"/>
        <v>6504524</v>
      </c>
      <c r="AQ31" s="230">
        <f t="shared" si="1"/>
        <v>3</v>
      </c>
    </row>
    <row r="32" spans="1:43" ht="13.8" customHeight="1">
      <c r="A32" s="228">
        <v>4</v>
      </c>
      <c r="B32" s="229" t="s">
        <v>273</v>
      </c>
      <c r="C32" s="230" t="s">
        <v>280</v>
      </c>
      <c r="D32" s="231">
        <v>45382</v>
      </c>
      <c r="E32" s="231">
        <v>45382</v>
      </c>
      <c r="F32" s="230" t="s">
        <v>281</v>
      </c>
      <c r="G32" s="228" t="s">
        <v>275</v>
      </c>
      <c r="I32" s="230">
        <v>239</v>
      </c>
      <c r="J32" s="228" t="s">
        <v>276</v>
      </c>
      <c r="K32" s="230">
        <v>1533010002</v>
      </c>
      <c r="T32" s="232">
        <v>-3209334</v>
      </c>
      <c r="U32" s="229" t="s">
        <v>277</v>
      </c>
      <c r="AC32" s="229" t="s">
        <v>278</v>
      </c>
      <c r="AF32">
        <v>20240331</v>
      </c>
      <c r="AI32" s="233">
        <v>20240331</v>
      </c>
      <c r="AJ32">
        <v>8002492410</v>
      </c>
      <c r="AL32"/>
      <c r="AM32" s="230" t="s">
        <v>297</v>
      </c>
      <c r="AO32" s="234">
        <v>0</v>
      </c>
      <c r="AP32" s="232">
        <f t="shared" si="0"/>
        <v>3209334</v>
      </c>
      <c r="AQ32" s="230">
        <f t="shared" si="1"/>
        <v>3</v>
      </c>
    </row>
    <row r="33" spans="1:43" ht="13.8" customHeight="1">
      <c r="A33" s="228">
        <v>4</v>
      </c>
      <c r="B33" s="229" t="s">
        <v>273</v>
      </c>
      <c r="C33" s="230" t="s">
        <v>280</v>
      </c>
      <c r="D33" s="231">
        <v>45382</v>
      </c>
      <c r="E33" s="231">
        <v>45382</v>
      </c>
      <c r="F33" s="230" t="s">
        <v>281</v>
      </c>
      <c r="G33" s="228" t="s">
        <v>275</v>
      </c>
      <c r="I33" s="230">
        <v>240</v>
      </c>
      <c r="J33" s="228" t="s">
        <v>276</v>
      </c>
      <c r="K33" s="230">
        <v>1533010002</v>
      </c>
      <c r="T33" s="232">
        <v>-15917110</v>
      </c>
      <c r="U33" s="229" t="s">
        <v>277</v>
      </c>
      <c r="AC33" s="229" t="s">
        <v>278</v>
      </c>
      <c r="AF33">
        <v>20240331</v>
      </c>
      <c r="AI33" s="233">
        <v>20240331</v>
      </c>
      <c r="AJ33">
        <v>8002514406</v>
      </c>
      <c r="AL33"/>
      <c r="AM33" s="230" t="s">
        <v>283</v>
      </c>
      <c r="AO33" s="234" t="s">
        <v>115</v>
      </c>
      <c r="AP33" s="232">
        <f t="shared" si="0"/>
        <v>15917110</v>
      </c>
      <c r="AQ33" s="230">
        <f t="shared" si="1"/>
        <v>3</v>
      </c>
    </row>
    <row r="34" spans="1:43" ht="13.8" customHeight="1">
      <c r="A34" s="228">
        <v>4</v>
      </c>
      <c r="B34" s="229" t="s">
        <v>273</v>
      </c>
      <c r="C34" s="230" t="s">
        <v>280</v>
      </c>
      <c r="D34" s="231">
        <v>45382</v>
      </c>
      <c r="E34" s="231">
        <v>45382</v>
      </c>
      <c r="F34" s="230" t="s">
        <v>281</v>
      </c>
      <c r="G34" s="228" t="s">
        <v>275</v>
      </c>
      <c r="I34" s="230">
        <v>241</v>
      </c>
      <c r="J34" s="228" t="s">
        <v>276</v>
      </c>
      <c r="K34" s="230">
        <v>1533010002</v>
      </c>
      <c r="T34" s="232">
        <v>-77334</v>
      </c>
      <c r="U34" s="229" t="s">
        <v>277</v>
      </c>
      <c r="AC34" s="229" t="s">
        <v>278</v>
      </c>
      <c r="AF34">
        <v>20240331</v>
      </c>
      <c r="AI34" s="233">
        <v>20240331</v>
      </c>
      <c r="AJ34">
        <v>8050011572</v>
      </c>
      <c r="AL34"/>
      <c r="AM34" s="230" t="s">
        <v>284</v>
      </c>
      <c r="AO34" s="234">
        <v>0</v>
      </c>
      <c r="AP34" s="232">
        <f t="shared" si="0"/>
        <v>77334</v>
      </c>
      <c r="AQ34" s="230">
        <f t="shared" si="1"/>
        <v>3</v>
      </c>
    </row>
    <row r="35" spans="1:43" ht="13.8" customHeight="1">
      <c r="A35" s="228">
        <v>4</v>
      </c>
      <c r="B35" s="229" t="s">
        <v>273</v>
      </c>
      <c r="C35" s="230" t="s">
        <v>280</v>
      </c>
      <c r="D35" s="231">
        <v>45382</v>
      </c>
      <c r="E35" s="231">
        <v>45382</v>
      </c>
      <c r="F35" s="230" t="s">
        <v>281</v>
      </c>
      <c r="G35" s="228" t="s">
        <v>275</v>
      </c>
      <c r="I35" s="230">
        <v>242</v>
      </c>
      <c r="J35" s="228" t="s">
        <v>276</v>
      </c>
      <c r="K35" s="230">
        <v>1533010002</v>
      </c>
      <c r="T35" s="232">
        <v>-212001</v>
      </c>
      <c r="U35" s="229" t="s">
        <v>277</v>
      </c>
      <c r="AC35" s="229" t="s">
        <v>278</v>
      </c>
      <c r="AF35">
        <v>20240331</v>
      </c>
      <c r="AI35" s="233">
        <v>20240331</v>
      </c>
      <c r="AJ35">
        <v>8060083947</v>
      </c>
      <c r="AL35"/>
      <c r="AM35" s="230" t="s">
        <v>293</v>
      </c>
      <c r="AO35" s="234">
        <v>0</v>
      </c>
      <c r="AP35" s="232">
        <f t="shared" si="0"/>
        <v>212001</v>
      </c>
      <c r="AQ35" s="230">
        <f t="shared" si="1"/>
        <v>3</v>
      </c>
    </row>
    <row r="36" spans="1:43" ht="13.8" customHeight="1">
      <c r="A36" s="228">
        <v>4</v>
      </c>
      <c r="B36" s="229" t="s">
        <v>273</v>
      </c>
      <c r="C36" s="230" t="s">
        <v>280</v>
      </c>
      <c r="D36" s="231">
        <v>45382</v>
      </c>
      <c r="E36" s="231">
        <v>45382</v>
      </c>
      <c r="F36" s="230" t="s">
        <v>281</v>
      </c>
      <c r="G36" s="228" t="s">
        <v>275</v>
      </c>
      <c r="I36" s="230">
        <v>243</v>
      </c>
      <c r="J36" s="228" t="s">
        <v>276</v>
      </c>
      <c r="K36" s="230">
        <v>1533010002</v>
      </c>
      <c r="T36" s="232">
        <v>-16862650</v>
      </c>
      <c r="U36" s="229" t="s">
        <v>277</v>
      </c>
      <c r="AC36" s="229" t="s">
        <v>278</v>
      </c>
      <c r="AF36">
        <v>20240331</v>
      </c>
      <c r="AI36" s="233">
        <v>20240331</v>
      </c>
      <c r="AJ36">
        <v>8300035647</v>
      </c>
      <c r="AL36"/>
      <c r="AM36" s="230" t="s">
        <v>286</v>
      </c>
      <c r="AO36" s="234" t="s">
        <v>109</v>
      </c>
      <c r="AP36" s="232">
        <f t="shared" si="0"/>
        <v>16862650</v>
      </c>
      <c r="AQ36" s="230">
        <f t="shared" si="1"/>
        <v>3</v>
      </c>
    </row>
    <row r="37" spans="1:43" ht="13.8" customHeight="1">
      <c r="A37" s="228">
        <v>4</v>
      </c>
      <c r="B37" s="229" t="s">
        <v>273</v>
      </c>
      <c r="C37" s="230" t="s">
        <v>280</v>
      </c>
      <c r="D37" s="231">
        <v>45382</v>
      </c>
      <c r="E37" s="231">
        <v>45382</v>
      </c>
      <c r="F37" s="230" t="s">
        <v>281</v>
      </c>
      <c r="G37" s="228" t="s">
        <v>275</v>
      </c>
      <c r="I37" s="230">
        <v>244</v>
      </c>
      <c r="J37" s="228" t="s">
        <v>276</v>
      </c>
      <c r="K37" s="230">
        <v>1533010002</v>
      </c>
      <c r="T37" s="232">
        <v>-22887098</v>
      </c>
      <c r="U37" s="229" t="s">
        <v>277</v>
      </c>
      <c r="AC37" s="229" t="s">
        <v>278</v>
      </c>
      <c r="AF37">
        <v>20240331</v>
      </c>
      <c r="AI37" s="233">
        <v>20240331</v>
      </c>
      <c r="AJ37">
        <v>8301138310</v>
      </c>
      <c r="AL37"/>
      <c r="AM37" s="230" t="s">
        <v>287</v>
      </c>
      <c r="AO37" s="234">
        <v>0</v>
      </c>
      <c r="AP37" s="232">
        <f t="shared" si="0"/>
        <v>22887098</v>
      </c>
      <c r="AQ37" s="230">
        <f t="shared" si="1"/>
        <v>3</v>
      </c>
    </row>
    <row r="38" spans="1:43" ht="13.8" customHeight="1">
      <c r="A38" s="228">
        <v>4</v>
      </c>
      <c r="B38" s="229" t="s">
        <v>273</v>
      </c>
      <c r="C38" s="230" t="s">
        <v>280</v>
      </c>
      <c r="D38" s="231">
        <v>45382</v>
      </c>
      <c r="E38" s="231">
        <v>45382</v>
      </c>
      <c r="F38" s="230" t="s">
        <v>281</v>
      </c>
      <c r="G38" s="228" t="s">
        <v>275</v>
      </c>
      <c r="I38" s="230">
        <v>245</v>
      </c>
      <c r="J38" s="228" t="s">
        <v>276</v>
      </c>
      <c r="K38" s="230">
        <v>1533010002</v>
      </c>
      <c r="T38" s="232">
        <v>-14001696</v>
      </c>
      <c r="U38" s="229" t="s">
        <v>277</v>
      </c>
      <c r="AC38" s="229" t="s">
        <v>278</v>
      </c>
      <c r="AF38">
        <v>20240331</v>
      </c>
      <c r="AI38" s="233">
        <v>20240331</v>
      </c>
      <c r="AJ38">
        <v>8600021839</v>
      </c>
      <c r="AL38"/>
      <c r="AM38" s="230" t="s">
        <v>288</v>
      </c>
      <c r="AO38" s="234">
        <v>0</v>
      </c>
      <c r="AP38" s="232">
        <f t="shared" si="0"/>
        <v>14001696</v>
      </c>
      <c r="AQ38" s="230">
        <f t="shared" si="1"/>
        <v>3</v>
      </c>
    </row>
    <row r="39" spans="1:43" ht="13.8" customHeight="1">
      <c r="A39" s="228">
        <v>4</v>
      </c>
      <c r="B39" s="229" t="s">
        <v>273</v>
      </c>
      <c r="C39" s="230" t="s">
        <v>280</v>
      </c>
      <c r="D39" s="231">
        <v>45382</v>
      </c>
      <c r="E39" s="231">
        <v>45382</v>
      </c>
      <c r="F39" s="230" t="s">
        <v>281</v>
      </c>
      <c r="G39" s="228" t="s">
        <v>275</v>
      </c>
      <c r="I39" s="230">
        <v>246</v>
      </c>
      <c r="J39" s="228" t="s">
        <v>276</v>
      </c>
      <c r="K39" s="230">
        <v>1533010002</v>
      </c>
      <c r="T39" s="232">
        <v>-8704906</v>
      </c>
      <c r="U39" s="229" t="s">
        <v>277</v>
      </c>
      <c r="AC39" s="229" t="s">
        <v>278</v>
      </c>
      <c r="AF39">
        <v>20240331</v>
      </c>
      <c r="AI39" s="233">
        <v>20240331</v>
      </c>
      <c r="AJ39">
        <v>8600669427</v>
      </c>
      <c r="AL39"/>
      <c r="AM39" s="230" t="s">
        <v>289</v>
      </c>
      <c r="AO39" s="234" t="s">
        <v>101</v>
      </c>
      <c r="AP39" s="232">
        <f t="shared" si="0"/>
        <v>8704906</v>
      </c>
      <c r="AQ39" s="230">
        <f t="shared" si="1"/>
        <v>3</v>
      </c>
    </row>
    <row r="40" spans="1:43" ht="13.8" customHeight="1">
      <c r="A40" s="228">
        <v>4</v>
      </c>
      <c r="B40" s="229" t="s">
        <v>273</v>
      </c>
      <c r="C40" s="230" t="s">
        <v>280</v>
      </c>
      <c r="D40" s="231">
        <v>45382</v>
      </c>
      <c r="E40" s="231">
        <v>45382</v>
      </c>
      <c r="F40" s="230" t="s">
        <v>281</v>
      </c>
      <c r="G40" s="228" t="s">
        <v>275</v>
      </c>
      <c r="I40" s="230">
        <v>247</v>
      </c>
      <c r="J40" s="228" t="s">
        <v>276</v>
      </c>
      <c r="K40" s="230">
        <v>1533010002</v>
      </c>
      <c r="T40" s="232">
        <v>-21704777</v>
      </c>
      <c r="U40" s="229" t="s">
        <v>277</v>
      </c>
      <c r="AC40" s="229" t="s">
        <v>278</v>
      </c>
      <c r="AF40">
        <v>20240331</v>
      </c>
      <c r="AI40" s="233">
        <v>20240331</v>
      </c>
      <c r="AJ40">
        <v>9001562642</v>
      </c>
      <c r="AL40"/>
      <c r="AM40" s="230" t="s">
        <v>290</v>
      </c>
      <c r="AO40" s="234" t="s">
        <v>111</v>
      </c>
      <c r="AP40" s="232">
        <f t="shared" si="0"/>
        <v>21704777</v>
      </c>
      <c r="AQ40" s="230">
        <f t="shared" si="1"/>
        <v>3</v>
      </c>
    </row>
    <row r="41" spans="1:43" ht="13.8" customHeight="1">
      <c r="A41" s="228">
        <v>4</v>
      </c>
      <c r="B41" s="229" t="s">
        <v>273</v>
      </c>
      <c r="C41" s="230" t="s">
        <v>280</v>
      </c>
      <c r="D41" s="231">
        <v>45382</v>
      </c>
      <c r="E41" s="231">
        <v>45382</v>
      </c>
      <c r="F41" s="230" t="s">
        <v>281</v>
      </c>
      <c r="G41" s="228" t="s">
        <v>275</v>
      </c>
      <c r="I41" s="230">
        <v>248</v>
      </c>
      <c r="J41" s="228" t="s">
        <v>276</v>
      </c>
      <c r="K41" s="230">
        <v>1533010002</v>
      </c>
      <c r="T41" s="232">
        <v>-39857</v>
      </c>
      <c r="U41" s="229" t="s">
        <v>277</v>
      </c>
      <c r="AC41" s="229" t="s">
        <v>278</v>
      </c>
      <c r="AF41">
        <v>20240331</v>
      </c>
      <c r="AI41" s="233">
        <v>20240331</v>
      </c>
      <c r="AJ41">
        <v>9009142541</v>
      </c>
      <c r="AL41"/>
      <c r="AM41" s="230" t="s">
        <v>296</v>
      </c>
      <c r="AO41" s="234">
        <v>0</v>
      </c>
      <c r="AP41" s="232">
        <f t="shared" si="0"/>
        <v>39857</v>
      </c>
      <c r="AQ41" s="230">
        <f t="shared" si="1"/>
        <v>3</v>
      </c>
    </row>
    <row r="42" spans="1:43" ht="13.8" customHeight="1">
      <c r="A42" s="228">
        <v>7</v>
      </c>
      <c r="B42" s="229" t="s">
        <v>273</v>
      </c>
      <c r="C42" s="230" t="s">
        <v>280</v>
      </c>
      <c r="D42" s="231">
        <v>45382</v>
      </c>
      <c r="E42" s="231">
        <v>45382</v>
      </c>
      <c r="F42" s="230" t="s">
        <v>281</v>
      </c>
      <c r="G42" s="228" t="s">
        <v>275</v>
      </c>
      <c r="I42" s="230">
        <v>257</v>
      </c>
      <c r="J42" s="228" t="s">
        <v>276</v>
      </c>
      <c r="K42" s="230">
        <v>1533010002</v>
      </c>
      <c r="T42" s="232">
        <v>3623546</v>
      </c>
      <c r="U42" s="229" t="s">
        <v>277</v>
      </c>
      <c r="AC42" s="229" t="s">
        <v>278</v>
      </c>
      <c r="AF42">
        <v>20240331</v>
      </c>
      <c r="AI42" s="233">
        <v>20240331</v>
      </c>
      <c r="AJ42">
        <v>8000887022</v>
      </c>
      <c r="AL42"/>
      <c r="AM42" s="230" t="s">
        <v>291</v>
      </c>
      <c r="AO42" s="234" t="s">
        <v>108</v>
      </c>
      <c r="AP42" s="232">
        <f t="shared" si="0"/>
        <v>3623546</v>
      </c>
      <c r="AQ42" s="230">
        <f t="shared" si="1"/>
        <v>3</v>
      </c>
    </row>
    <row r="43" spans="1:43" ht="13.8" customHeight="1">
      <c r="A43" s="228">
        <v>7</v>
      </c>
      <c r="B43" s="229" t="s">
        <v>273</v>
      </c>
      <c r="C43" s="230" t="s">
        <v>280</v>
      </c>
      <c r="D43" s="231">
        <v>45382</v>
      </c>
      <c r="E43" s="231">
        <v>45382</v>
      </c>
      <c r="F43" s="230" t="s">
        <v>281</v>
      </c>
      <c r="G43" s="228" t="s">
        <v>275</v>
      </c>
      <c r="I43" s="230">
        <v>258</v>
      </c>
      <c r="J43" s="228" t="s">
        <v>276</v>
      </c>
      <c r="K43" s="230">
        <v>1533010002</v>
      </c>
      <c r="T43" s="232">
        <v>232000</v>
      </c>
      <c r="U43" s="229" t="s">
        <v>277</v>
      </c>
      <c r="AC43" s="229" t="s">
        <v>278</v>
      </c>
      <c r="AF43">
        <v>20240331</v>
      </c>
      <c r="AI43" s="233">
        <v>20240331</v>
      </c>
      <c r="AJ43">
        <v>8600669427</v>
      </c>
      <c r="AL43"/>
      <c r="AM43" s="230" t="s">
        <v>289</v>
      </c>
      <c r="AO43" s="234" t="s">
        <v>101</v>
      </c>
      <c r="AP43" s="232">
        <f t="shared" si="0"/>
        <v>232000</v>
      </c>
      <c r="AQ43" s="230">
        <f t="shared" si="1"/>
        <v>3</v>
      </c>
    </row>
    <row r="44" spans="1:43" ht="13.8" customHeight="1">
      <c r="A44" s="228">
        <v>7</v>
      </c>
      <c r="B44" s="229" t="s">
        <v>273</v>
      </c>
      <c r="C44" s="230" t="s">
        <v>280</v>
      </c>
      <c r="D44" s="231">
        <v>45382</v>
      </c>
      <c r="E44" s="231">
        <v>45382</v>
      </c>
      <c r="F44" s="230" t="s">
        <v>281</v>
      </c>
      <c r="G44" s="228" t="s">
        <v>275</v>
      </c>
      <c r="I44" s="230">
        <v>259</v>
      </c>
      <c r="J44" s="228" t="s">
        <v>276</v>
      </c>
      <c r="K44" s="230">
        <v>1533010002</v>
      </c>
      <c r="T44" s="232">
        <v>256134</v>
      </c>
      <c r="U44" s="229" t="s">
        <v>277</v>
      </c>
      <c r="AC44" s="229" t="s">
        <v>278</v>
      </c>
      <c r="AF44">
        <v>20240331</v>
      </c>
      <c r="AI44" s="233">
        <v>20240331</v>
      </c>
      <c r="AJ44">
        <v>8600021839</v>
      </c>
      <c r="AL44"/>
      <c r="AM44" s="230" t="s">
        <v>288</v>
      </c>
      <c r="AO44" s="234">
        <v>0</v>
      </c>
      <c r="AP44" s="232">
        <f t="shared" si="0"/>
        <v>256134</v>
      </c>
      <c r="AQ44" s="230">
        <f t="shared" si="1"/>
        <v>3</v>
      </c>
    </row>
    <row r="45" spans="1:43" ht="13.8" customHeight="1">
      <c r="A45" s="228">
        <v>7</v>
      </c>
      <c r="B45" s="229" t="s">
        <v>273</v>
      </c>
      <c r="C45" s="230" t="s">
        <v>280</v>
      </c>
      <c r="D45" s="231">
        <v>45382</v>
      </c>
      <c r="E45" s="231">
        <v>45382</v>
      </c>
      <c r="F45" s="230" t="s">
        <v>281</v>
      </c>
      <c r="G45" s="228" t="s">
        <v>275</v>
      </c>
      <c r="I45" s="230">
        <v>260</v>
      </c>
      <c r="J45" s="228" t="s">
        <v>276</v>
      </c>
      <c r="K45" s="230">
        <v>1533010002</v>
      </c>
      <c r="T45" s="232">
        <v>5998997</v>
      </c>
      <c r="U45" s="229" t="s">
        <v>277</v>
      </c>
      <c r="AC45" s="229" t="s">
        <v>278</v>
      </c>
      <c r="AF45">
        <v>20240331</v>
      </c>
      <c r="AI45" s="233">
        <v>20240331</v>
      </c>
      <c r="AJ45">
        <v>8903030935</v>
      </c>
      <c r="AL45"/>
      <c r="AM45" s="230" t="s">
        <v>99</v>
      </c>
      <c r="AO45" s="234">
        <v>0</v>
      </c>
      <c r="AP45" s="232">
        <f t="shared" si="0"/>
        <v>5998997</v>
      </c>
      <c r="AQ45" s="230">
        <f t="shared" si="1"/>
        <v>3</v>
      </c>
    </row>
    <row r="46" spans="1:43" ht="13.8" customHeight="1">
      <c r="A46" s="228">
        <v>2</v>
      </c>
      <c r="B46" s="229" t="s">
        <v>273</v>
      </c>
      <c r="C46" s="230" t="s">
        <v>280</v>
      </c>
      <c r="D46" s="231">
        <v>45412</v>
      </c>
      <c r="E46" s="231">
        <v>45412</v>
      </c>
      <c r="F46" s="230" t="s">
        <v>281</v>
      </c>
      <c r="G46" s="228" t="s">
        <v>275</v>
      </c>
      <c r="I46" s="230">
        <v>91</v>
      </c>
      <c r="J46" s="228" t="s">
        <v>276</v>
      </c>
      <c r="K46" s="230">
        <v>1533010002</v>
      </c>
      <c r="T46" s="232">
        <v>-38885230</v>
      </c>
      <c r="U46" s="229" t="s">
        <v>277</v>
      </c>
      <c r="AC46" s="229" t="s">
        <v>278</v>
      </c>
      <c r="AF46">
        <v>20240430</v>
      </c>
      <c r="AI46" s="233">
        <v>20240430</v>
      </c>
      <c r="AJ46">
        <v>8000887022</v>
      </c>
      <c r="AL46"/>
      <c r="AM46" s="230" t="s">
        <v>292</v>
      </c>
      <c r="AO46" s="234" t="s">
        <v>108</v>
      </c>
      <c r="AP46" s="232">
        <f t="shared" si="0"/>
        <v>38885230</v>
      </c>
      <c r="AQ46" s="230">
        <f t="shared" si="1"/>
        <v>4</v>
      </c>
    </row>
    <row r="47" spans="1:43" ht="13.8" customHeight="1">
      <c r="A47" s="228">
        <v>2</v>
      </c>
      <c r="B47" s="229" t="s">
        <v>273</v>
      </c>
      <c r="C47" s="230" t="s">
        <v>280</v>
      </c>
      <c r="D47" s="231">
        <v>45412</v>
      </c>
      <c r="E47" s="231">
        <v>45412</v>
      </c>
      <c r="F47" s="230" t="s">
        <v>281</v>
      </c>
      <c r="G47" s="228" t="s">
        <v>275</v>
      </c>
      <c r="I47" s="230">
        <v>92</v>
      </c>
      <c r="J47" s="228" t="s">
        <v>276</v>
      </c>
      <c r="K47" s="230">
        <v>1533010002</v>
      </c>
      <c r="T47" s="232">
        <v>-28502131</v>
      </c>
      <c r="U47" s="229" t="s">
        <v>277</v>
      </c>
      <c r="AC47" s="229" t="s">
        <v>278</v>
      </c>
      <c r="AF47">
        <v>20240430</v>
      </c>
      <c r="AI47" s="233">
        <v>20240430</v>
      </c>
      <c r="AJ47">
        <v>8001309074</v>
      </c>
      <c r="AL47"/>
      <c r="AM47" s="230" t="s">
        <v>282</v>
      </c>
      <c r="AO47" s="234">
        <v>0</v>
      </c>
      <c r="AP47" s="232">
        <f t="shared" si="0"/>
        <v>28502131</v>
      </c>
      <c r="AQ47" s="230">
        <f t="shared" si="1"/>
        <v>4</v>
      </c>
    </row>
    <row r="48" spans="1:43" ht="13.8" customHeight="1">
      <c r="A48" s="228">
        <v>2</v>
      </c>
      <c r="B48" s="229" t="s">
        <v>273</v>
      </c>
      <c r="C48" s="230" t="s">
        <v>280</v>
      </c>
      <c r="D48" s="231">
        <v>45412</v>
      </c>
      <c r="E48" s="231">
        <v>45412</v>
      </c>
      <c r="F48" s="230" t="s">
        <v>281</v>
      </c>
      <c r="G48" s="228" t="s">
        <v>275</v>
      </c>
      <c r="I48" s="230">
        <v>93</v>
      </c>
      <c r="J48" s="228" t="s">
        <v>276</v>
      </c>
      <c r="K48" s="230">
        <v>1533010002</v>
      </c>
      <c r="T48" s="232">
        <v>-2226672</v>
      </c>
      <c r="U48" s="229" t="s">
        <v>277</v>
      </c>
      <c r="AC48" s="229" t="s">
        <v>278</v>
      </c>
      <c r="AF48">
        <v>20240430</v>
      </c>
      <c r="AI48" s="233">
        <v>20240430</v>
      </c>
      <c r="AJ48">
        <v>8002492410</v>
      </c>
      <c r="AL48"/>
      <c r="AM48" s="230" t="s">
        <v>297</v>
      </c>
      <c r="AO48" s="234">
        <v>0</v>
      </c>
      <c r="AP48" s="232">
        <f t="shared" si="0"/>
        <v>2226672</v>
      </c>
      <c r="AQ48" s="230">
        <f t="shared" si="1"/>
        <v>4</v>
      </c>
    </row>
    <row r="49" spans="1:43" ht="13.8" customHeight="1">
      <c r="A49" s="228">
        <v>2</v>
      </c>
      <c r="B49" s="229" t="s">
        <v>273</v>
      </c>
      <c r="C49" s="230" t="s">
        <v>280</v>
      </c>
      <c r="D49" s="231">
        <v>45412</v>
      </c>
      <c r="E49" s="231">
        <v>45412</v>
      </c>
      <c r="F49" s="230" t="s">
        <v>281</v>
      </c>
      <c r="G49" s="228" t="s">
        <v>275</v>
      </c>
      <c r="I49" s="230">
        <v>94</v>
      </c>
      <c r="J49" s="228" t="s">
        <v>276</v>
      </c>
      <c r="K49" s="230">
        <v>1533010002</v>
      </c>
      <c r="T49" s="232">
        <v>-32810713</v>
      </c>
      <c r="U49" s="229" t="s">
        <v>277</v>
      </c>
      <c r="AC49" s="229" t="s">
        <v>278</v>
      </c>
      <c r="AF49">
        <v>20240430</v>
      </c>
      <c r="AI49" s="233">
        <v>20240430</v>
      </c>
      <c r="AJ49">
        <v>8002514406</v>
      </c>
      <c r="AL49"/>
      <c r="AM49" s="230" t="s">
        <v>283</v>
      </c>
      <c r="AO49" s="234" t="s">
        <v>115</v>
      </c>
      <c r="AP49" s="232">
        <f t="shared" si="0"/>
        <v>32810713</v>
      </c>
      <c r="AQ49" s="230">
        <f t="shared" si="1"/>
        <v>4</v>
      </c>
    </row>
    <row r="50" spans="1:43" ht="13.8" customHeight="1">
      <c r="A50" s="228">
        <v>2</v>
      </c>
      <c r="B50" s="229" t="s">
        <v>273</v>
      </c>
      <c r="C50" s="230" t="s">
        <v>280</v>
      </c>
      <c r="D50" s="231">
        <v>45412</v>
      </c>
      <c r="E50" s="231">
        <v>45412</v>
      </c>
      <c r="F50" s="230" t="s">
        <v>281</v>
      </c>
      <c r="G50" s="228" t="s">
        <v>275</v>
      </c>
      <c r="I50" s="230">
        <v>95</v>
      </c>
      <c r="J50" s="228" t="s">
        <v>276</v>
      </c>
      <c r="K50" s="230">
        <v>1533010002</v>
      </c>
      <c r="T50" s="232">
        <v>-886770</v>
      </c>
      <c r="U50" s="229" t="s">
        <v>277</v>
      </c>
      <c r="AC50" s="229" t="s">
        <v>278</v>
      </c>
      <c r="AF50">
        <v>20240430</v>
      </c>
      <c r="AI50" s="233">
        <v>20240430</v>
      </c>
      <c r="AJ50">
        <v>8050011572</v>
      </c>
      <c r="AL50"/>
      <c r="AM50" s="230" t="s">
        <v>284</v>
      </c>
      <c r="AO50" s="234">
        <v>0</v>
      </c>
      <c r="AP50" s="232">
        <f t="shared" si="0"/>
        <v>886770</v>
      </c>
      <c r="AQ50" s="230">
        <f t="shared" si="1"/>
        <v>4</v>
      </c>
    </row>
    <row r="51" spans="1:43" ht="13.8" customHeight="1">
      <c r="A51" s="228">
        <v>2</v>
      </c>
      <c r="B51" s="229" t="s">
        <v>273</v>
      </c>
      <c r="C51" s="230" t="s">
        <v>280</v>
      </c>
      <c r="D51" s="231">
        <v>45412</v>
      </c>
      <c r="E51" s="231">
        <v>45412</v>
      </c>
      <c r="F51" s="230" t="s">
        <v>281</v>
      </c>
      <c r="G51" s="228" t="s">
        <v>275</v>
      </c>
      <c r="I51" s="230">
        <v>96</v>
      </c>
      <c r="J51" s="228" t="s">
        <v>276</v>
      </c>
      <c r="K51" s="230">
        <v>1533010002</v>
      </c>
      <c r="T51" s="232">
        <v>-705335</v>
      </c>
      <c r="U51" s="229" t="s">
        <v>277</v>
      </c>
      <c r="AC51" s="229" t="s">
        <v>278</v>
      </c>
      <c r="AF51">
        <v>20240430</v>
      </c>
      <c r="AI51" s="233">
        <v>20240430</v>
      </c>
      <c r="AJ51">
        <v>8060083947</v>
      </c>
      <c r="AL51"/>
      <c r="AM51" s="230" t="s">
        <v>293</v>
      </c>
      <c r="AO51" s="234">
        <v>0</v>
      </c>
      <c r="AP51" s="232">
        <f t="shared" si="0"/>
        <v>705335</v>
      </c>
      <c r="AQ51" s="230">
        <f t="shared" si="1"/>
        <v>4</v>
      </c>
    </row>
    <row r="52" spans="1:43" ht="13.8" customHeight="1">
      <c r="A52" s="228">
        <v>2</v>
      </c>
      <c r="B52" s="229" t="s">
        <v>273</v>
      </c>
      <c r="C52" s="230" t="s">
        <v>280</v>
      </c>
      <c r="D52" s="231">
        <v>45412</v>
      </c>
      <c r="E52" s="231">
        <v>45412</v>
      </c>
      <c r="F52" s="230" t="s">
        <v>281</v>
      </c>
      <c r="G52" s="228" t="s">
        <v>275</v>
      </c>
      <c r="I52" s="230">
        <v>97</v>
      </c>
      <c r="J52" s="228" t="s">
        <v>276</v>
      </c>
      <c r="K52" s="230">
        <v>1533010002</v>
      </c>
      <c r="T52" s="232">
        <v>-86668</v>
      </c>
      <c r="U52" s="229" t="s">
        <v>277</v>
      </c>
      <c r="AC52" s="229" t="s">
        <v>278</v>
      </c>
      <c r="AF52">
        <v>20240430</v>
      </c>
      <c r="AI52" s="233">
        <v>20240430</v>
      </c>
      <c r="AJ52">
        <v>8140003371</v>
      </c>
      <c r="AL52"/>
      <c r="AM52" s="230" t="s">
        <v>285</v>
      </c>
      <c r="AO52" s="234" t="s">
        <v>82</v>
      </c>
      <c r="AP52" s="232">
        <f t="shared" si="0"/>
        <v>86668</v>
      </c>
      <c r="AQ52" s="230">
        <f t="shared" si="1"/>
        <v>4</v>
      </c>
    </row>
    <row r="53" spans="1:43" ht="13.8" customHeight="1">
      <c r="A53" s="228">
        <v>2</v>
      </c>
      <c r="B53" s="229" t="s">
        <v>273</v>
      </c>
      <c r="C53" s="230" t="s">
        <v>280</v>
      </c>
      <c r="D53" s="231">
        <v>45412</v>
      </c>
      <c r="E53" s="231">
        <v>45412</v>
      </c>
      <c r="F53" s="230" t="s">
        <v>281</v>
      </c>
      <c r="G53" s="228" t="s">
        <v>275</v>
      </c>
      <c r="I53" s="230">
        <v>98</v>
      </c>
      <c r="J53" s="228" t="s">
        <v>276</v>
      </c>
      <c r="K53" s="230">
        <v>1533010002</v>
      </c>
      <c r="T53" s="232">
        <v>-18386363</v>
      </c>
      <c r="U53" s="229" t="s">
        <v>277</v>
      </c>
      <c r="AC53" s="229" t="s">
        <v>278</v>
      </c>
      <c r="AF53">
        <v>20240430</v>
      </c>
      <c r="AI53" s="233">
        <v>20240430</v>
      </c>
      <c r="AJ53">
        <v>8300035647</v>
      </c>
      <c r="AL53"/>
      <c r="AM53" s="230" t="s">
        <v>286</v>
      </c>
      <c r="AO53" s="234" t="s">
        <v>109</v>
      </c>
      <c r="AP53" s="232">
        <f t="shared" si="0"/>
        <v>18386363</v>
      </c>
      <c r="AQ53" s="230">
        <f t="shared" si="1"/>
        <v>4</v>
      </c>
    </row>
    <row r="54" spans="1:43" ht="13.8" customHeight="1">
      <c r="A54" s="228">
        <v>2</v>
      </c>
      <c r="B54" s="229" t="s">
        <v>273</v>
      </c>
      <c r="C54" s="230" t="s">
        <v>280</v>
      </c>
      <c r="D54" s="231">
        <v>45412</v>
      </c>
      <c r="E54" s="231">
        <v>45412</v>
      </c>
      <c r="F54" s="230" t="s">
        <v>281</v>
      </c>
      <c r="G54" s="228" t="s">
        <v>275</v>
      </c>
      <c r="I54" s="230">
        <v>99</v>
      </c>
      <c r="J54" s="228" t="s">
        <v>276</v>
      </c>
      <c r="K54" s="230">
        <v>1533010002</v>
      </c>
      <c r="T54" s="232">
        <v>-3620679</v>
      </c>
      <c r="U54" s="229" t="s">
        <v>277</v>
      </c>
      <c r="AC54" s="229" t="s">
        <v>278</v>
      </c>
      <c r="AF54">
        <v>20240430</v>
      </c>
      <c r="AI54" s="233">
        <v>20240430</v>
      </c>
      <c r="AJ54">
        <v>8301138310</v>
      </c>
      <c r="AL54"/>
      <c r="AM54" s="230" t="s">
        <v>287</v>
      </c>
      <c r="AO54" s="234">
        <v>0</v>
      </c>
      <c r="AP54" s="232">
        <f t="shared" si="0"/>
        <v>3620679</v>
      </c>
      <c r="AQ54" s="230">
        <f t="shared" si="1"/>
        <v>4</v>
      </c>
    </row>
    <row r="55" spans="1:43" ht="13.8" customHeight="1">
      <c r="A55" s="228">
        <v>2</v>
      </c>
      <c r="B55" s="229" t="s">
        <v>273</v>
      </c>
      <c r="C55" s="230" t="s">
        <v>280</v>
      </c>
      <c r="D55" s="231">
        <v>45412</v>
      </c>
      <c r="E55" s="231">
        <v>45412</v>
      </c>
      <c r="F55" s="230" t="s">
        <v>281</v>
      </c>
      <c r="G55" s="228" t="s">
        <v>275</v>
      </c>
      <c r="I55" s="230">
        <v>100</v>
      </c>
      <c r="J55" s="228" t="s">
        <v>276</v>
      </c>
      <c r="K55" s="230">
        <v>1533010002</v>
      </c>
      <c r="T55" s="232">
        <v>-7845825</v>
      </c>
      <c r="U55" s="229" t="s">
        <v>277</v>
      </c>
      <c r="AC55" s="229" t="s">
        <v>278</v>
      </c>
      <c r="AF55">
        <v>20240430</v>
      </c>
      <c r="AI55" s="233">
        <v>20240430</v>
      </c>
      <c r="AJ55">
        <v>8600021839</v>
      </c>
      <c r="AL55"/>
      <c r="AM55" s="230" t="s">
        <v>288</v>
      </c>
      <c r="AO55" s="234">
        <v>0</v>
      </c>
      <c r="AP55" s="232">
        <f t="shared" si="0"/>
        <v>7845825</v>
      </c>
      <c r="AQ55" s="230">
        <f t="shared" si="1"/>
        <v>4</v>
      </c>
    </row>
    <row r="56" spans="1:43" ht="13.8" customHeight="1">
      <c r="A56" s="228">
        <v>2</v>
      </c>
      <c r="B56" s="229" t="s">
        <v>273</v>
      </c>
      <c r="C56" s="230" t="s">
        <v>280</v>
      </c>
      <c r="D56" s="231">
        <v>45412</v>
      </c>
      <c r="E56" s="231">
        <v>45412</v>
      </c>
      <c r="F56" s="230" t="s">
        <v>281</v>
      </c>
      <c r="G56" s="228" t="s">
        <v>275</v>
      </c>
      <c r="I56" s="230">
        <v>101</v>
      </c>
      <c r="J56" s="228" t="s">
        <v>276</v>
      </c>
      <c r="K56" s="230">
        <v>1533010002</v>
      </c>
      <c r="T56" s="232">
        <v>-8626224</v>
      </c>
      <c r="U56" s="229" t="s">
        <v>277</v>
      </c>
      <c r="AC56" s="229" t="s">
        <v>278</v>
      </c>
      <c r="AF56">
        <v>20240430</v>
      </c>
      <c r="AI56" s="233">
        <v>20240430</v>
      </c>
      <c r="AJ56">
        <v>8600669427</v>
      </c>
      <c r="AL56"/>
      <c r="AM56" s="230" t="s">
        <v>289</v>
      </c>
      <c r="AO56" s="234" t="s">
        <v>101</v>
      </c>
      <c r="AP56" s="232">
        <f t="shared" si="0"/>
        <v>8626224</v>
      </c>
      <c r="AQ56" s="230">
        <f t="shared" si="1"/>
        <v>4</v>
      </c>
    </row>
    <row r="57" spans="1:43" ht="13.8" customHeight="1">
      <c r="A57" s="228">
        <v>2</v>
      </c>
      <c r="B57" s="229" t="s">
        <v>273</v>
      </c>
      <c r="C57" s="230" t="s">
        <v>280</v>
      </c>
      <c r="D57" s="231">
        <v>45412</v>
      </c>
      <c r="E57" s="231">
        <v>45412</v>
      </c>
      <c r="F57" s="230" t="s">
        <v>281</v>
      </c>
      <c r="G57" s="228" t="s">
        <v>275</v>
      </c>
      <c r="I57" s="230">
        <v>102</v>
      </c>
      <c r="J57" s="228" t="s">
        <v>276</v>
      </c>
      <c r="K57" s="230">
        <v>1533010002</v>
      </c>
      <c r="T57" s="232">
        <v>-19238721</v>
      </c>
      <c r="U57" s="229" t="s">
        <v>277</v>
      </c>
      <c r="AC57" s="229" t="s">
        <v>278</v>
      </c>
      <c r="AF57">
        <v>20240430</v>
      </c>
      <c r="AI57" s="233">
        <v>20240430</v>
      </c>
      <c r="AJ57">
        <v>8903030935</v>
      </c>
      <c r="AL57"/>
      <c r="AM57" s="230" t="s">
        <v>99</v>
      </c>
      <c r="AO57" s="234">
        <v>0</v>
      </c>
      <c r="AP57" s="232">
        <f t="shared" si="0"/>
        <v>19238721</v>
      </c>
      <c r="AQ57" s="230">
        <f t="shared" si="1"/>
        <v>4</v>
      </c>
    </row>
    <row r="58" spans="1:43" ht="13.8" customHeight="1">
      <c r="A58" s="228">
        <v>2</v>
      </c>
      <c r="B58" s="229" t="s">
        <v>273</v>
      </c>
      <c r="C58" s="230" t="s">
        <v>280</v>
      </c>
      <c r="D58" s="231">
        <v>45412</v>
      </c>
      <c r="E58" s="231">
        <v>45412</v>
      </c>
      <c r="F58" s="230" t="s">
        <v>281</v>
      </c>
      <c r="G58" s="228" t="s">
        <v>275</v>
      </c>
      <c r="I58" s="230">
        <v>103</v>
      </c>
      <c r="J58" s="228" t="s">
        <v>276</v>
      </c>
      <c r="K58" s="230">
        <v>1533010002</v>
      </c>
      <c r="T58" s="232">
        <v>-18797583</v>
      </c>
      <c r="U58" s="229" t="s">
        <v>277</v>
      </c>
      <c r="AC58" s="229" t="s">
        <v>278</v>
      </c>
      <c r="AF58">
        <v>20240430</v>
      </c>
      <c r="AI58" s="233">
        <v>20240430</v>
      </c>
      <c r="AJ58">
        <v>9001562642</v>
      </c>
      <c r="AL58"/>
      <c r="AM58" s="230" t="s">
        <v>290</v>
      </c>
      <c r="AO58" s="234" t="s">
        <v>111</v>
      </c>
      <c r="AP58" s="232">
        <f t="shared" si="0"/>
        <v>18797583</v>
      </c>
      <c r="AQ58" s="230">
        <f t="shared" si="1"/>
        <v>4</v>
      </c>
    </row>
    <row r="59" spans="1:43" ht="13.8" customHeight="1">
      <c r="A59" s="228">
        <v>1</v>
      </c>
      <c r="B59" s="229" t="s">
        <v>273</v>
      </c>
      <c r="C59" s="230" t="s">
        <v>280</v>
      </c>
      <c r="D59" s="231">
        <v>45443</v>
      </c>
      <c r="E59" s="231">
        <v>45443</v>
      </c>
      <c r="F59" s="230" t="s">
        <v>281</v>
      </c>
      <c r="G59" s="228" t="s">
        <v>275</v>
      </c>
      <c r="I59" s="230">
        <v>66</v>
      </c>
      <c r="J59" s="228" t="s">
        <v>276</v>
      </c>
      <c r="K59" s="230">
        <v>1533010002</v>
      </c>
      <c r="T59" s="232">
        <v>-16590832</v>
      </c>
      <c r="U59" s="229" t="s">
        <v>277</v>
      </c>
      <c r="AC59" s="229" t="s">
        <v>278</v>
      </c>
      <c r="AF59">
        <v>20240531</v>
      </c>
      <c r="AI59" s="233">
        <v>20240531</v>
      </c>
      <c r="AJ59">
        <v>8000887022</v>
      </c>
      <c r="AL59"/>
      <c r="AM59" s="230" t="s">
        <v>292</v>
      </c>
      <c r="AO59" s="234" t="s">
        <v>108</v>
      </c>
      <c r="AP59" s="232">
        <f t="shared" si="0"/>
        <v>16590832</v>
      </c>
      <c r="AQ59" s="230">
        <f t="shared" si="1"/>
        <v>5</v>
      </c>
    </row>
    <row r="60" spans="1:43" ht="13.8" customHeight="1">
      <c r="A60" s="228">
        <v>1</v>
      </c>
      <c r="B60" s="229" t="s">
        <v>273</v>
      </c>
      <c r="C60" s="230" t="s">
        <v>280</v>
      </c>
      <c r="D60" s="231">
        <v>45443</v>
      </c>
      <c r="E60" s="231">
        <v>45443</v>
      </c>
      <c r="F60" s="230" t="s">
        <v>281</v>
      </c>
      <c r="G60" s="228" t="s">
        <v>275</v>
      </c>
      <c r="I60" s="230">
        <v>67</v>
      </c>
      <c r="J60" s="228" t="s">
        <v>276</v>
      </c>
      <c r="K60" s="230">
        <v>1533010002</v>
      </c>
      <c r="T60" s="232">
        <v>-6757008</v>
      </c>
      <c r="U60" s="229" t="s">
        <v>277</v>
      </c>
      <c r="AC60" s="229" t="s">
        <v>278</v>
      </c>
      <c r="AF60">
        <v>20240531</v>
      </c>
      <c r="AI60" s="233">
        <v>20240531</v>
      </c>
      <c r="AJ60">
        <v>8001309074</v>
      </c>
      <c r="AL60"/>
      <c r="AM60" s="230" t="s">
        <v>282</v>
      </c>
      <c r="AO60" s="234">
        <v>0</v>
      </c>
      <c r="AP60" s="232">
        <f t="shared" si="0"/>
        <v>6757008</v>
      </c>
      <c r="AQ60" s="230">
        <f t="shared" si="1"/>
        <v>5</v>
      </c>
    </row>
    <row r="61" spans="1:43" ht="13.8" customHeight="1">
      <c r="A61" s="228">
        <v>1</v>
      </c>
      <c r="B61" s="229" t="s">
        <v>273</v>
      </c>
      <c r="C61" s="230" t="s">
        <v>280</v>
      </c>
      <c r="D61" s="231">
        <v>45443</v>
      </c>
      <c r="E61" s="231">
        <v>45443</v>
      </c>
      <c r="F61" s="230" t="s">
        <v>281</v>
      </c>
      <c r="G61" s="228" t="s">
        <v>275</v>
      </c>
      <c r="I61" s="230">
        <v>68</v>
      </c>
      <c r="J61" s="228" t="s">
        <v>276</v>
      </c>
      <c r="K61" s="230">
        <v>1533010002</v>
      </c>
      <c r="T61" s="232">
        <v>-4278379</v>
      </c>
      <c r="U61" s="229" t="s">
        <v>277</v>
      </c>
      <c r="AC61" s="229" t="s">
        <v>278</v>
      </c>
      <c r="AF61">
        <v>20240531</v>
      </c>
      <c r="AI61" s="233">
        <v>20240531</v>
      </c>
      <c r="AJ61">
        <v>8002492410</v>
      </c>
      <c r="AL61"/>
      <c r="AM61" s="230" t="s">
        <v>297</v>
      </c>
      <c r="AO61" s="234">
        <v>0</v>
      </c>
      <c r="AP61" s="232">
        <f t="shared" si="0"/>
        <v>4278379</v>
      </c>
      <c r="AQ61" s="230">
        <f t="shared" si="1"/>
        <v>5</v>
      </c>
    </row>
    <row r="62" spans="1:43" ht="13.8" customHeight="1">
      <c r="A62" s="228">
        <v>1</v>
      </c>
      <c r="B62" s="229" t="s">
        <v>273</v>
      </c>
      <c r="C62" s="230" t="s">
        <v>280</v>
      </c>
      <c r="D62" s="231">
        <v>45443</v>
      </c>
      <c r="E62" s="231">
        <v>45443</v>
      </c>
      <c r="F62" s="230" t="s">
        <v>281</v>
      </c>
      <c r="G62" s="228" t="s">
        <v>275</v>
      </c>
      <c r="I62" s="230">
        <v>69</v>
      </c>
      <c r="J62" s="228" t="s">
        <v>276</v>
      </c>
      <c r="K62" s="230">
        <v>1533010002</v>
      </c>
      <c r="T62" s="232">
        <v>-48757908</v>
      </c>
      <c r="U62" s="229" t="s">
        <v>277</v>
      </c>
      <c r="AC62" s="229" t="s">
        <v>278</v>
      </c>
      <c r="AF62">
        <v>20240531</v>
      </c>
      <c r="AI62" s="233">
        <v>20240531</v>
      </c>
      <c r="AJ62">
        <v>8002514406</v>
      </c>
      <c r="AL62"/>
      <c r="AM62" s="230" t="s">
        <v>283</v>
      </c>
      <c r="AO62" s="234" t="s">
        <v>115</v>
      </c>
      <c r="AP62" s="232">
        <f t="shared" si="0"/>
        <v>48757908</v>
      </c>
      <c r="AQ62" s="230">
        <f t="shared" si="1"/>
        <v>5</v>
      </c>
    </row>
    <row r="63" spans="1:43" ht="13.8" customHeight="1">
      <c r="A63" s="228">
        <v>1</v>
      </c>
      <c r="B63" s="229" t="s">
        <v>273</v>
      </c>
      <c r="C63" s="230" t="s">
        <v>280</v>
      </c>
      <c r="D63" s="231">
        <v>45443</v>
      </c>
      <c r="E63" s="231">
        <v>45443</v>
      </c>
      <c r="F63" s="230" t="s">
        <v>281</v>
      </c>
      <c r="G63" s="228" t="s">
        <v>275</v>
      </c>
      <c r="I63" s="230">
        <v>70</v>
      </c>
      <c r="J63" s="228" t="s">
        <v>276</v>
      </c>
      <c r="K63" s="230">
        <v>1533010002</v>
      </c>
      <c r="T63" s="232">
        <v>-4915334</v>
      </c>
      <c r="U63" s="229" t="s">
        <v>277</v>
      </c>
      <c r="AC63" s="229" t="s">
        <v>278</v>
      </c>
      <c r="AF63">
        <v>20240531</v>
      </c>
      <c r="AI63" s="233">
        <v>20240531</v>
      </c>
      <c r="AJ63">
        <v>8050011572</v>
      </c>
      <c r="AL63"/>
      <c r="AM63" s="230" t="s">
        <v>284</v>
      </c>
      <c r="AO63" s="234">
        <v>0</v>
      </c>
      <c r="AP63" s="232">
        <f t="shared" si="0"/>
        <v>4915334</v>
      </c>
      <c r="AQ63" s="230">
        <f t="shared" si="1"/>
        <v>5</v>
      </c>
    </row>
    <row r="64" spans="1:43" ht="13.8" customHeight="1">
      <c r="A64" s="228">
        <v>1</v>
      </c>
      <c r="B64" s="229" t="s">
        <v>273</v>
      </c>
      <c r="C64" s="230" t="s">
        <v>280</v>
      </c>
      <c r="D64" s="231">
        <v>45443</v>
      </c>
      <c r="E64" s="231">
        <v>45443</v>
      </c>
      <c r="F64" s="230" t="s">
        <v>281</v>
      </c>
      <c r="G64" s="228" t="s">
        <v>275</v>
      </c>
      <c r="I64" s="230">
        <v>71</v>
      </c>
      <c r="J64" s="228" t="s">
        <v>276</v>
      </c>
      <c r="K64" s="230">
        <v>1533010002</v>
      </c>
      <c r="T64" s="232">
        <v>-43334</v>
      </c>
      <c r="U64" s="229" t="s">
        <v>277</v>
      </c>
      <c r="AC64" s="229" t="s">
        <v>278</v>
      </c>
      <c r="AF64">
        <v>20240531</v>
      </c>
      <c r="AI64" s="233">
        <v>20240531</v>
      </c>
      <c r="AJ64">
        <v>8060083947</v>
      </c>
      <c r="AL64"/>
      <c r="AM64" s="230" t="s">
        <v>298</v>
      </c>
      <c r="AO64" s="234">
        <v>0</v>
      </c>
      <c r="AP64" s="232">
        <f t="shared" si="0"/>
        <v>43334</v>
      </c>
      <c r="AQ64" s="230">
        <f t="shared" si="1"/>
        <v>5</v>
      </c>
    </row>
    <row r="65" spans="1:43" ht="13.8" customHeight="1">
      <c r="A65" s="228">
        <v>1</v>
      </c>
      <c r="B65" s="229" t="s">
        <v>273</v>
      </c>
      <c r="C65" s="230" t="s">
        <v>280</v>
      </c>
      <c r="D65" s="231">
        <v>45443</v>
      </c>
      <c r="E65" s="231">
        <v>45443</v>
      </c>
      <c r="F65" s="230" t="s">
        <v>281</v>
      </c>
      <c r="G65" s="228" t="s">
        <v>275</v>
      </c>
      <c r="I65" s="230">
        <v>72</v>
      </c>
      <c r="J65" s="228" t="s">
        <v>276</v>
      </c>
      <c r="K65" s="230">
        <v>1533010002</v>
      </c>
      <c r="T65" s="232">
        <v>-1560012</v>
      </c>
      <c r="U65" s="229" t="s">
        <v>277</v>
      </c>
      <c r="AC65" s="229" t="s">
        <v>278</v>
      </c>
      <c r="AF65">
        <v>20240531</v>
      </c>
      <c r="AI65" s="233">
        <v>20240531</v>
      </c>
      <c r="AJ65">
        <v>8060083947</v>
      </c>
      <c r="AL65"/>
      <c r="AM65" s="230" t="s">
        <v>293</v>
      </c>
      <c r="AO65" s="234">
        <v>0</v>
      </c>
      <c r="AP65" s="232">
        <f t="shared" si="0"/>
        <v>1560012</v>
      </c>
      <c r="AQ65" s="230">
        <f t="shared" si="1"/>
        <v>5</v>
      </c>
    </row>
    <row r="66" spans="1:43" ht="13.8" customHeight="1">
      <c r="A66" s="228">
        <v>1</v>
      </c>
      <c r="B66" s="229" t="s">
        <v>273</v>
      </c>
      <c r="C66" s="230" t="s">
        <v>280</v>
      </c>
      <c r="D66" s="231">
        <v>45443</v>
      </c>
      <c r="E66" s="231">
        <v>45443</v>
      </c>
      <c r="F66" s="230" t="s">
        <v>281</v>
      </c>
      <c r="G66" s="228" t="s">
        <v>275</v>
      </c>
      <c r="I66" s="230">
        <v>73</v>
      </c>
      <c r="J66" s="228" t="s">
        <v>276</v>
      </c>
      <c r="K66" s="230">
        <v>1533010002</v>
      </c>
      <c r="T66" s="232">
        <v>-1473356</v>
      </c>
      <c r="U66" s="229" t="s">
        <v>277</v>
      </c>
      <c r="AC66" s="229" t="s">
        <v>278</v>
      </c>
      <c r="AF66">
        <v>20240531</v>
      </c>
      <c r="AI66" s="233">
        <v>20240531</v>
      </c>
      <c r="AJ66">
        <v>8140003371</v>
      </c>
      <c r="AL66"/>
      <c r="AM66" s="230" t="s">
        <v>285</v>
      </c>
      <c r="AO66" s="234" t="s">
        <v>82</v>
      </c>
      <c r="AP66" s="232">
        <f t="shared" si="0"/>
        <v>1473356</v>
      </c>
      <c r="AQ66" s="230">
        <f t="shared" si="1"/>
        <v>5</v>
      </c>
    </row>
    <row r="67" spans="1:43" ht="13.8" customHeight="1">
      <c r="A67" s="228">
        <v>1</v>
      </c>
      <c r="B67" s="229" t="s">
        <v>273</v>
      </c>
      <c r="C67" s="230" t="s">
        <v>280</v>
      </c>
      <c r="D67" s="231">
        <v>45443</v>
      </c>
      <c r="E67" s="231">
        <v>45443</v>
      </c>
      <c r="F67" s="230" t="s">
        <v>281</v>
      </c>
      <c r="G67" s="228" t="s">
        <v>275</v>
      </c>
      <c r="I67" s="230">
        <v>74</v>
      </c>
      <c r="J67" s="228" t="s">
        <v>276</v>
      </c>
      <c r="K67" s="230">
        <v>1533010002</v>
      </c>
      <c r="T67" s="232">
        <v>-11480473</v>
      </c>
      <c r="U67" s="229" t="s">
        <v>277</v>
      </c>
      <c r="AC67" s="229" t="s">
        <v>278</v>
      </c>
      <c r="AF67">
        <v>20240531</v>
      </c>
      <c r="AI67" s="233">
        <v>20240531</v>
      </c>
      <c r="AJ67">
        <v>8300035647</v>
      </c>
      <c r="AL67"/>
      <c r="AM67" s="230" t="s">
        <v>286</v>
      </c>
      <c r="AO67" s="234" t="s">
        <v>109</v>
      </c>
      <c r="AP67" s="232">
        <f t="shared" ref="AP67:AP130" si="2">+ABS(T67)</f>
        <v>11480473</v>
      </c>
      <c r="AQ67" s="230">
        <f t="shared" ref="AQ67:AQ130" si="3">+MONTH(D67)</f>
        <v>5</v>
      </c>
    </row>
    <row r="68" spans="1:43" ht="13.8" customHeight="1">
      <c r="A68" s="228">
        <v>1</v>
      </c>
      <c r="B68" s="229" t="s">
        <v>273</v>
      </c>
      <c r="C68" s="230" t="s">
        <v>280</v>
      </c>
      <c r="D68" s="231">
        <v>45443</v>
      </c>
      <c r="E68" s="231">
        <v>45443</v>
      </c>
      <c r="F68" s="230" t="s">
        <v>281</v>
      </c>
      <c r="G68" s="228" t="s">
        <v>275</v>
      </c>
      <c r="I68" s="230">
        <v>75</v>
      </c>
      <c r="J68" s="228" t="s">
        <v>276</v>
      </c>
      <c r="K68" s="230">
        <v>1533010002</v>
      </c>
      <c r="T68" s="232">
        <v>-6094960</v>
      </c>
      <c r="U68" s="229" t="s">
        <v>277</v>
      </c>
      <c r="AC68" s="229" t="s">
        <v>278</v>
      </c>
      <c r="AF68">
        <v>20240531</v>
      </c>
      <c r="AI68" s="233">
        <v>20240531</v>
      </c>
      <c r="AJ68">
        <v>8301138310</v>
      </c>
      <c r="AL68"/>
      <c r="AM68" s="230" t="s">
        <v>287</v>
      </c>
      <c r="AO68" s="234">
        <v>0</v>
      </c>
      <c r="AP68" s="232">
        <f t="shared" si="2"/>
        <v>6094960</v>
      </c>
      <c r="AQ68" s="230">
        <f t="shared" si="3"/>
        <v>5</v>
      </c>
    </row>
    <row r="69" spans="1:43" ht="13.8" customHeight="1">
      <c r="A69" s="228">
        <v>1</v>
      </c>
      <c r="B69" s="229" t="s">
        <v>273</v>
      </c>
      <c r="C69" s="230" t="s">
        <v>280</v>
      </c>
      <c r="D69" s="231">
        <v>45443</v>
      </c>
      <c r="E69" s="231">
        <v>45443</v>
      </c>
      <c r="F69" s="230" t="s">
        <v>281</v>
      </c>
      <c r="G69" s="228" t="s">
        <v>275</v>
      </c>
      <c r="I69" s="230">
        <v>76</v>
      </c>
      <c r="J69" s="228" t="s">
        <v>276</v>
      </c>
      <c r="K69" s="230">
        <v>1533010002</v>
      </c>
      <c r="T69" s="232">
        <v>-20904576</v>
      </c>
      <c r="U69" s="229" t="s">
        <v>277</v>
      </c>
      <c r="AC69" s="229" t="s">
        <v>278</v>
      </c>
      <c r="AF69">
        <v>20240531</v>
      </c>
      <c r="AI69" s="233">
        <v>20240531</v>
      </c>
      <c r="AJ69">
        <v>8600021839</v>
      </c>
      <c r="AL69"/>
      <c r="AM69" s="230" t="s">
        <v>288</v>
      </c>
      <c r="AO69" s="234">
        <v>0</v>
      </c>
      <c r="AP69" s="232">
        <f t="shared" si="2"/>
        <v>20904576</v>
      </c>
      <c r="AQ69" s="230">
        <f t="shared" si="3"/>
        <v>5</v>
      </c>
    </row>
    <row r="70" spans="1:43" ht="13.8" customHeight="1">
      <c r="A70" s="228">
        <v>1</v>
      </c>
      <c r="B70" s="229" t="s">
        <v>273</v>
      </c>
      <c r="C70" s="230" t="s">
        <v>280</v>
      </c>
      <c r="D70" s="231">
        <v>45443</v>
      </c>
      <c r="E70" s="231">
        <v>45443</v>
      </c>
      <c r="F70" s="230" t="s">
        <v>281</v>
      </c>
      <c r="G70" s="228" t="s">
        <v>275</v>
      </c>
      <c r="I70" s="230">
        <v>77</v>
      </c>
      <c r="J70" s="228" t="s">
        <v>276</v>
      </c>
      <c r="K70" s="230">
        <v>1533010002</v>
      </c>
      <c r="T70" s="232">
        <v>-4130041</v>
      </c>
      <c r="U70" s="229" t="s">
        <v>277</v>
      </c>
      <c r="AC70" s="229" t="s">
        <v>278</v>
      </c>
      <c r="AF70">
        <v>20240531</v>
      </c>
      <c r="AI70" s="233">
        <v>20240531</v>
      </c>
      <c r="AJ70">
        <v>8600669427</v>
      </c>
      <c r="AL70"/>
      <c r="AM70" s="230" t="s">
        <v>289</v>
      </c>
      <c r="AO70" s="234" t="s">
        <v>101</v>
      </c>
      <c r="AP70" s="232">
        <f t="shared" si="2"/>
        <v>4130041</v>
      </c>
      <c r="AQ70" s="230">
        <f t="shared" si="3"/>
        <v>5</v>
      </c>
    </row>
    <row r="71" spans="1:43" ht="13.8" customHeight="1">
      <c r="A71" s="228">
        <v>1</v>
      </c>
      <c r="B71" s="229" t="s">
        <v>273</v>
      </c>
      <c r="C71" s="230" t="s">
        <v>280</v>
      </c>
      <c r="D71" s="231">
        <v>45443</v>
      </c>
      <c r="E71" s="231">
        <v>45443</v>
      </c>
      <c r="F71" s="230" t="s">
        <v>281</v>
      </c>
      <c r="G71" s="228" t="s">
        <v>275</v>
      </c>
      <c r="I71" s="230">
        <v>78</v>
      </c>
      <c r="J71" s="228" t="s">
        <v>276</v>
      </c>
      <c r="K71" s="230">
        <v>1533010002</v>
      </c>
      <c r="T71" s="232">
        <v>-28733967</v>
      </c>
      <c r="U71" s="229" t="s">
        <v>277</v>
      </c>
      <c r="AC71" s="229" t="s">
        <v>278</v>
      </c>
      <c r="AF71">
        <v>20240531</v>
      </c>
      <c r="AI71" s="233">
        <v>20240531</v>
      </c>
      <c r="AJ71">
        <v>9001562642</v>
      </c>
      <c r="AL71"/>
      <c r="AM71" s="230" t="s">
        <v>290</v>
      </c>
      <c r="AO71" s="234" t="s">
        <v>111</v>
      </c>
      <c r="AP71" s="232">
        <f t="shared" si="2"/>
        <v>28733967</v>
      </c>
      <c r="AQ71" s="230">
        <f t="shared" si="3"/>
        <v>5</v>
      </c>
    </row>
    <row r="72" spans="1:43" ht="13.8" customHeight="1">
      <c r="A72" s="228">
        <v>1</v>
      </c>
      <c r="B72" s="229" t="s">
        <v>273</v>
      </c>
      <c r="C72" s="230" t="s">
        <v>280</v>
      </c>
      <c r="D72" s="231">
        <v>45473</v>
      </c>
      <c r="E72" s="231">
        <v>45473</v>
      </c>
      <c r="F72" s="230" t="s">
        <v>281</v>
      </c>
      <c r="G72" s="228" t="s">
        <v>275</v>
      </c>
      <c r="I72" s="230">
        <v>54</v>
      </c>
      <c r="J72" s="228" t="s">
        <v>276</v>
      </c>
      <c r="K72" s="230">
        <v>1533010002</v>
      </c>
      <c r="T72" s="232">
        <v>-36563373</v>
      </c>
      <c r="U72" s="229" t="s">
        <v>277</v>
      </c>
      <c r="AC72" s="229" t="s">
        <v>278</v>
      </c>
      <c r="AF72">
        <v>20240630</v>
      </c>
      <c r="AI72" s="233">
        <v>20240630</v>
      </c>
      <c r="AJ72">
        <v>8000887022</v>
      </c>
      <c r="AL72"/>
      <c r="AM72" s="230" t="s">
        <v>292</v>
      </c>
      <c r="AO72" s="234" t="s">
        <v>108</v>
      </c>
      <c r="AP72" s="232">
        <f t="shared" si="2"/>
        <v>36563373</v>
      </c>
      <c r="AQ72" s="230">
        <f t="shared" si="3"/>
        <v>6</v>
      </c>
    </row>
    <row r="73" spans="1:43" ht="13.8" customHeight="1">
      <c r="A73" s="228">
        <v>1</v>
      </c>
      <c r="B73" s="229" t="s">
        <v>273</v>
      </c>
      <c r="C73" s="230" t="s">
        <v>280</v>
      </c>
      <c r="D73" s="231">
        <v>45473</v>
      </c>
      <c r="E73" s="231">
        <v>45473</v>
      </c>
      <c r="F73" s="230" t="s">
        <v>281</v>
      </c>
      <c r="G73" s="228" t="s">
        <v>275</v>
      </c>
      <c r="I73" s="230">
        <v>55</v>
      </c>
      <c r="J73" s="228" t="s">
        <v>276</v>
      </c>
      <c r="K73" s="230">
        <v>1533010002</v>
      </c>
      <c r="T73" s="232">
        <v>-1346004</v>
      </c>
      <c r="U73" s="229" t="s">
        <v>277</v>
      </c>
      <c r="AC73" s="229" t="s">
        <v>278</v>
      </c>
      <c r="AF73">
        <v>20240630</v>
      </c>
      <c r="AI73" s="233">
        <v>20240630</v>
      </c>
      <c r="AJ73">
        <v>8001309074</v>
      </c>
      <c r="AL73"/>
      <c r="AM73" s="230" t="s">
        <v>282</v>
      </c>
      <c r="AO73" s="234">
        <v>0</v>
      </c>
      <c r="AP73" s="232">
        <f t="shared" si="2"/>
        <v>1346004</v>
      </c>
      <c r="AQ73" s="230">
        <f t="shared" si="3"/>
        <v>6</v>
      </c>
    </row>
    <row r="74" spans="1:43" ht="13.8" customHeight="1">
      <c r="A74" s="228">
        <v>1</v>
      </c>
      <c r="B74" s="229" t="s">
        <v>273</v>
      </c>
      <c r="C74" s="230" t="s">
        <v>280</v>
      </c>
      <c r="D74" s="231">
        <v>45473</v>
      </c>
      <c r="E74" s="231">
        <v>45473</v>
      </c>
      <c r="F74" s="230" t="s">
        <v>281</v>
      </c>
      <c r="G74" s="228" t="s">
        <v>275</v>
      </c>
      <c r="I74" s="230">
        <v>56</v>
      </c>
      <c r="J74" s="228" t="s">
        <v>276</v>
      </c>
      <c r="K74" s="230">
        <v>1533010002</v>
      </c>
      <c r="T74" s="232">
        <v>-1690002</v>
      </c>
      <c r="U74" s="229" t="s">
        <v>277</v>
      </c>
      <c r="AC74" s="229" t="s">
        <v>278</v>
      </c>
      <c r="AF74">
        <v>20240630</v>
      </c>
      <c r="AI74" s="233">
        <v>20240630</v>
      </c>
      <c r="AJ74">
        <v>8002492410</v>
      </c>
      <c r="AL74"/>
      <c r="AM74" s="230" t="s">
        <v>297</v>
      </c>
      <c r="AO74" s="234">
        <v>0</v>
      </c>
      <c r="AP74" s="232">
        <f t="shared" si="2"/>
        <v>1690002</v>
      </c>
      <c r="AQ74" s="230">
        <f t="shared" si="3"/>
        <v>6</v>
      </c>
    </row>
    <row r="75" spans="1:43" ht="13.8" customHeight="1">
      <c r="A75" s="228">
        <v>1</v>
      </c>
      <c r="B75" s="229" t="s">
        <v>273</v>
      </c>
      <c r="C75" s="230" t="s">
        <v>280</v>
      </c>
      <c r="D75" s="231">
        <v>45473</v>
      </c>
      <c r="E75" s="231">
        <v>45473</v>
      </c>
      <c r="F75" s="230" t="s">
        <v>281</v>
      </c>
      <c r="G75" s="228" t="s">
        <v>275</v>
      </c>
      <c r="I75" s="230">
        <v>57</v>
      </c>
      <c r="J75" s="228" t="s">
        <v>276</v>
      </c>
      <c r="K75" s="230">
        <v>1533010002</v>
      </c>
      <c r="T75" s="232">
        <v>-73300637</v>
      </c>
      <c r="U75" s="229" t="s">
        <v>277</v>
      </c>
      <c r="AC75" s="229" t="s">
        <v>278</v>
      </c>
      <c r="AF75">
        <v>20240630</v>
      </c>
      <c r="AI75" s="233">
        <v>20240630</v>
      </c>
      <c r="AJ75">
        <v>8002514406</v>
      </c>
      <c r="AL75"/>
      <c r="AM75" s="230" t="s">
        <v>283</v>
      </c>
      <c r="AO75" s="234" t="s">
        <v>115</v>
      </c>
      <c r="AP75" s="232">
        <f t="shared" si="2"/>
        <v>73300637</v>
      </c>
      <c r="AQ75" s="230">
        <f t="shared" si="3"/>
        <v>6</v>
      </c>
    </row>
    <row r="76" spans="1:43" ht="13.8" customHeight="1">
      <c r="A76" s="228">
        <v>1</v>
      </c>
      <c r="B76" s="229" t="s">
        <v>273</v>
      </c>
      <c r="C76" s="230" t="s">
        <v>280</v>
      </c>
      <c r="D76" s="231">
        <v>45473</v>
      </c>
      <c r="E76" s="231">
        <v>45473</v>
      </c>
      <c r="F76" s="230" t="s">
        <v>281</v>
      </c>
      <c r="G76" s="228" t="s">
        <v>275</v>
      </c>
      <c r="I76" s="230">
        <v>58</v>
      </c>
      <c r="J76" s="228" t="s">
        <v>276</v>
      </c>
      <c r="K76" s="230">
        <v>1533010002</v>
      </c>
      <c r="T76" s="232">
        <v>-140871</v>
      </c>
      <c r="U76" s="229" t="s">
        <v>277</v>
      </c>
      <c r="AC76" s="229" t="s">
        <v>278</v>
      </c>
      <c r="AF76">
        <v>20240630</v>
      </c>
      <c r="AI76" s="233">
        <v>20240630</v>
      </c>
      <c r="AJ76">
        <v>8050011572</v>
      </c>
      <c r="AL76"/>
      <c r="AM76" s="230" t="s">
        <v>284</v>
      </c>
      <c r="AO76" s="234">
        <v>0</v>
      </c>
      <c r="AP76" s="232">
        <f t="shared" si="2"/>
        <v>140871</v>
      </c>
      <c r="AQ76" s="230">
        <f t="shared" si="3"/>
        <v>6</v>
      </c>
    </row>
    <row r="77" spans="1:43" ht="13.8" customHeight="1">
      <c r="A77" s="228">
        <v>1</v>
      </c>
      <c r="B77" s="229" t="s">
        <v>273</v>
      </c>
      <c r="C77" s="230" t="s">
        <v>280</v>
      </c>
      <c r="D77" s="231">
        <v>45473</v>
      </c>
      <c r="E77" s="231">
        <v>45473</v>
      </c>
      <c r="F77" s="230" t="s">
        <v>281</v>
      </c>
      <c r="G77" s="228" t="s">
        <v>275</v>
      </c>
      <c r="I77" s="230">
        <v>59</v>
      </c>
      <c r="J77" s="228" t="s">
        <v>276</v>
      </c>
      <c r="K77" s="230">
        <v>1533010002</v>
      </c>
      <c r="T77" s="232">
        <v>-130000</v>
      </c>
      <c r="U77" s="229" t="s">
        <v>277</v>
      </c>
      <c r="AC77" s="229" t="s">
        <v>278</v>
      </c>
      <c r="AF77">
        <v>20240630</v>
      </c>
      <c r="AI77" s="233">
        <v>20240630</v>
      </c>
      <c r="AJ77">
        <v>8060083947</v>
      </c>
      <c r="AL77"/>
      <c r="AM77" s="230" t="s">
        <v>298</v>
      </c>
      <c r="AO77" s="234">
        <v>0</v>
      </c>
      <c r="AP77" s="232">
        <f t="shared" si="2"/>
        <v>130000</v>
      </c>
      <c r="AQ77" s="230">
        <f t="shared" si="3"/>
        <v>6</v>
      </c>
    </row>
    <row r="78" spans="1:43" ht="13.8" customHeight="1">
      <c r="A78" s="228">
        <v>1</v>
      </c>
      <c r="B78" s="229" t="s">
        <v>273</v>
      </c>
      <c r="C78" s="230" t="s">
        <v>280</v>
      </c>
      <c r="D78" s="231">
        <v>45473</v>
      </c>
      <c r="E78" s="231">
        <v>45473</v>
      </c>
      <c r="F78" s="230" t="s">
        <v>281</v>
      </c>
      <c r="G78" s="228" t="s">
        <v>275</v>
      </c>
      <c r="I78" s="230">
        <v>60</v>
      </c>
      <c r="J78" s="228" t="s">
        <v>276</v>
      </c>
      <c r="K78" s="230">
        <v>1533010002</v>
      </c>
      <c r="T78" s="232">
        <v>-323334</v>
      </c>
      <c r="U78" s="229" t="s">
        <v>277</v>
      </c>
      <c r="AC78" s="229" t="s">
        <v>278</v>
      </c>
      <c r="AF78">
        <v>20240630</v>
      </c>
      <c r="AI78" s="233">
        <v>20240630</v>
      </c>
      <c r="AJ78">
        <v>8060083947</v>
      </c>
      <c r="AL78"/>
      <c r="AM78" s="230" t="s">
        <v>293</v>
      </c>
      <c r="AO78" s="234">
        <v>0</v>
      </c>
      <c r="AP78" s="232">
        <f t="shared" si="2"/>
        <v>323334</v>
      </c>
      <c r="AQ78" s="230">
        <f t="shared" si="3"/>
        <v>6</v>
      </c>
    </row>
    <row r="79" spans="1:43" ht="13.8" customHeight="1">
      <c r="A79" s="228">
        <v>1</v>
      </c>
      <c r="B79" s="229" t="s">
        <v>273</v>
      </c>
      <c r="C79" s="230" t="s">
        <v>280</v>
      </c>
      <c r="D79" s="231">
        <v>45473</v>
      </c>
      <c r="E79" s="231">
        <v>45473</v>
      </c>
      <c r="F79" s="230" t="s">
        <v>281</v>
      </c>
      <c r="G79" s="228" t="s">
        <v>275</v>
      </c>
      <c r="I79" s="230">
        <v>61</v>
      </c>
      <c r="J79" s="228" t="s">
        <v>276</v>
      </c>
      <c r="K79" s="230">
        <v>1533010002</v>
      </c>
      <c r="T79" s="232">
        <v>-216670</v>
      </c>
      <c r="U79" s="229" t="s">
        <v>277</v>
      </c>
      <c r="AC79" s="229" t="s">
        <v>278</v>
      </c>
      <c r="AF79">
        <v>20240630</v>
      </c>
      <c r="AI79" s="233">
        <v>20240630</v>
      </c>
      <c r="AJ79">
        <v>8140003371</v>
      </c>
      <c r="AL79"/>
      <c r="AM79" s="230" t="s">
        <v>299</v>
      </c>
      <c r="AO79" s="234" t="s">
        <v>82</v>
      </c>
      <c r="AP79" s="232">
        <f t="shared" si="2"/>
        <v>216670</v>
      </c>
      <c r="AQ79" s="230">
        <f t="shared" si="3"/>
        <v>6</v>
      </c>
    </row>
    <row r="80" spans="1:43" ht="13.8" customHeight="1">
      <c r="A80" s="228">
        <v>1</v>
      </c>
      <c r="B80" s="229" t="s">
        <v>273</v>
      </c>
      <c r="C80" s="230" t="s">
        <v>280</v>
      </c>
      <c r="D80" s="231">
        <v>45473</v>
      </c>
      <c r="E80" s="231">
        <v>45473</v>
      </c>
      <c r="F80" s="230" t="s">
        <v>281</v>
      </c>
      <c r="G80" s="228" t="s">
        <v>275</v>
      </c>
      <c r="I80" s="230">
        <v>62</v>
      </c>
      <c r="J80" s="228" t="s">
        <v>276</v>
      </c>
      <c r="K80" s="230">
        <v>1533010002</v>
      </c>
      <c r="T80" s="232">
        <v>-13305834</v>
      </c>
      <c r="U80" s="229" t="s">
        <v>277</v>
      </c>
      <c r="AC80" s="229" t="s">
        <v>278</v>
      </c>
      <c r="AF80">
        <v>20240630</v>
      </c>
      <c r="AI80" s="233">
        <v>20240630</v>
      </c>
      <c r="AJ80">
        <v>8300035647</v>
      </c>
      <c r="AL80"/>
      <c r="AM80" s="230" t="s">
        <v>286</v>
      </c>
      <c r="AO80" s="234" t="s">
        <v>109</v>
      </c>
      <c r="AP80" s="232">
        <f t="shared" si="2"/>
        <v>13305834</v>
      </c>
      <c r="AQ80" s="230">
        <f t="shared" si="3"/>
        <v>6</v>
      </c>
    </row>
    <row r="81" spans="1:43" ht="13.8" customHeight="1">
      <c r="A81" s="228">
        <v>1</v>
      </c>
      <c r="B81" s="229" t="s">
        <v>273</v>
      </c>
      <c r="C81" s="230" t="s">
        <v>280</v>
      </c>
      <c r="D81" s="231">
        <v>45473</v>
      </c>
      <c r="E81" s="231">
        <v>45473</v>
      </c>
      <c r="F81" s="230" t="s">
        <v>281</v>
      </c>
      <c r="G81" s="228" t="s">
        <v>275</v>
      </c>
      <c r="I81" s="230">
        <v>63</v>
      </c>
      <c r="J81" s="228" t="s">
        <v>276</v>
      </c>
      <c r="K81" s="230">
        <v>1533010002</v>
      </c>
      <c r="T81" s="232">
        <v>-5643423</v>
      </c>
      <c r="U81" s="229" t="s">
        <v>277</v>
      </c>
      <c r="AC81" s="229" t="s">
        <v>278</v>
      </c>
      <c r="AF81">
        <v>20240630</v>
      </c>
      <c r="AI81" s="233">
        <v>20240630</v>
      </c>
      <c r="AJ81">
        <v>8301138310</v>
      </c>
      <c r="AL81"/>
      <c r="AM81" s="230" t="s">
        <v>287</v>
      </c>
      <c r="AO81" s="234">
        <v>0</v>
      </c>
      <c r="AP81" s="232">
        <f t="shared" si="2"/>
        <v>5643423</v>
      </c>
      <c r="AQ81" s="230">
        <f t="shared" si="3"/>
        <v>6</v>
      </c>
    </row>
    <row r="82" spans="1:43" ht="13.8" customHeight="1">
      <c r="A82" s="228">
        <v>1</v>
      </c>
      <c r="B82" s="229" t="s">
        <v>273</v>
      </c>
      <c r="C82" s="230" t="s">
        <v>280</v>
      </c>
      <c r="D82" s="231">
        <v>45473</v>
      </c>
      <c r="E82" s="231">
        <v>45473</v>
      </c>
      <c r="F82" s="230" t="s">
        <v>281</v>
      </c>
      <c r="G82" s="228" t="s">
        <v>275</v>
      </c>
      <c r="I82" s="230">
        <v>64</v>
      </c>
      <c r="J82" s="228" t="s">
        <v>276</v>
      </c>
      <c r="K82" s="230">
        <v>1533010002</v>
      </c>
      <c r="T82" s="232">
        <v>-8352907</v>
      </c>
      <c r="U82" s="229" t="s">
        <v>277</v>
      </c>
      <c r="AC82" s="229" t="s">
        <v>278</v>
      </c>
      <c r="AF82">
        <v>20240630</v>
      </c>
      <c r="AI82" s="233">
        <v>20240630</v>
      </c>
      <c r="AJ82">
        <v>8600021839</v>
      </c>
      <c r="AL82"/>
      <c r="AM82" s="230" t="s">
        <v>288</v>
      </c>
      <c r="AO82" s="234">
        <v>0</v>
      </c>
      <c r="AP82" s="232">
        <f t="shared" si="2"/>
        <v>8352907</v>
      </c>
      <c r="AQ82" s="230">
        <f t="shared" si="3"/>
        <v>6</v>
      </c>
    </row>
    <row r="83" spans="1:43" ht="13.8" customHeight="1">
      <c r="A83" s="228">
        <v>1</v>
      </c>
      <c r="B83" s="229" t="s">
        <v>273</v>
      </c>
      <c r="C83" s="230" t="s">
        <v>280</v>
      </c>
      <c r="D83" s="231">
        <v>45473</v>
      </c>
      <c r="E83" s="231">
        <v>45473</v>
      </c>
      <c r="F83" s="230" t="s">
        <v>281</v>
      </c>
      <c r="G83" s="228" t="s">
        <v>275</v>
      </c>
      <c r="I83" s="230">
        <v>65</v>
      </c>
      <c r="J83" s="228" t="s">
        <v>276</v>
      </c>
      <c r="K83" s="230">
        <v>1533010002</v>
      </c>
      <c r="T83" s="232">
        <v>-2956030</v>
      </c>
      <c r="U83" s="229" t="s">
        <v>277</v>
      </c>
      <c r="AC83" s="229" t="s">
        <v>278</v>
      </c>
      <c r="AF83">
        <v>20240630</v>
      </c>
      <c r="AI83" s="233">
        <v>20240630</v>
      </c>
      <c r="AJ83">
        <v>8600669427</v>
      </c>
      <c r="AL83"/>
      <c r="AM83" s="230" t="s">
        <v>289</v>
      </c>
      <c r="AO83" s="234" t="s">
        <v>101</v>
      </c>
      <c r="AP83" s="232">
        <f t="shared" si="2"/>
        <v>2956030</v>
      </c>
      <c r="AQ83" s="230">
        <f t="shared" si="3"/>
        <v>6</v>
      </c>
    </row>
    <row r="84" spans="1:43" ht="13.8" customHeight="1">
      <c r="A84" s="228">
        <v>1</v>
      </c>
      <c r="B84" s="229" t="s">
        <v>273</v>
      </c>
      <c r="C84" s="230" t="s">
        <v>280</v>
      </c>
      <c r="D84" s="231">
        <v>45473</v>
      </c>
      <c r="E84" s="231">
        <v>45473</v>
      </c>
      <c r="F84" s="230" t="s">
        <v>281</v>
      </c>
      <c r="G84" s="228" t="s">
        <v>275</v>
      </c>
      <c r="I84" s="230">
        <v>66</v>
      </c>
      <c r="J84" s="228" t="s">
        <v>276</v>
      </c>
      <c r="K84" s="230">
        <v>1533010002</v>
      </c>
      <c r="T84" s="232">
        <v>-39516027</v>
      </c>
      <c r="U84" s="229" t="s">
        <v>277</v>
      </c>
      <c r="AC84" s="229" t="s">
        <v>278</v>
      </c>
      <c r="AF84">
        <v>20240630</v>
      </c>
      <c r="AI84" s="233">
        <v>20240630</v>
      </c>
      <c r="AJ84">
        <v>9001562642</v>
      </c>
      <c r="AL84"/>
      <c r="AM84" s="230" t="s">
        <v>290</v>
      </c>
      <c r="AO84" s="234" t="s">
        <v>111</v>
      </c>
      <c r="AP84" s="232">
        <f t="shared" si="2"/>
        <v>39516027</v>
      </c>
      <c r="AQ84" s="230">
        <f t="shared" si="3"/>
        <v>6</v>
      </c>
    </row>
    <row r="85" spans="1:43" ht="13.8" customHeight="1">
      <c r="A85" s="228">
        <v>1</v>
      </c>
      <c r="B85" s="229" t="s">
        <v>273</v>
      </c>
      <c r="C85" s="230" t="s">
        <v>280</v>
      </c>
      <c r="D85" s="231">
        <v>45504</v>
      </c>
      <c r="E85" s="231">
        <v>45504</v>
      </c>
      <c r="F85" s="230" t="s">
        <v>281</v>
      </c>
      <c r="G85" s="228" t="s">
        <v>275</v>
      </c>
      <c r="I85" s="230">
        <v>57</v>
      </c>
      <c r="J85" s="228" t="s">
        <v>276</v>
      </c>
      <c r="K85" s="230">
        <v>1533010002</v>
      </c>
      <c r="T85" s="232">
        <v>-38074012</v>
      </c>
      <c r="U85" s="229" t="s">
        <v>277</v>
      </c>
      <c r="AC85" s="229" t="s">
        <v>278</v>
      </c>
      <c r="AF85">
        <v>20240731</v>
      </c>
      <c r="AI85" s="233">
        <v>20240731</v>
      </c>
      <c r="AJ85">
        <v>8000887022</v>
      </c>
      <c r="AL85"/>
      <c r="AM85" s="230" t="s">
        <v>292</v>
      </c>
      <c r="AO85" s="234" t="s">
        <v>108</v>
      </c>
      <c r="AP85" s="232">
        <f t="shared" si="2"/>
        <v>38074012</v>
      </c>
      <c r="AQ85" s="230">
        <f t="shared" si="3"/>
        <v>7</v>
      </c>
    </row>
    <row r="86" spans="1:43" ht="13.8" customHeight="1">
      <c r="A86" s="228">
        <v>1</v>
      </c>
      <c r="B86" s="229" t="s">
        <v>273</v>
      </c>
      <c r="C86" s="230" t="s">
        <v>280</v>
      </c>
      <c r="D86" s="231">
        <v>45504</v>
      </c>
      <c r="E86" s="231">
        <v>45504</v>
      </c>
      <c r="F86" s="230" t="s">
        <v>281</v>
      </c>
      <c r="G86" s="228" t="s">
        <v>275</v>
      </c>
      <c r="I86" s="230">
        <v>58</v>
      </c>
      <c r="J86" s="228" t="s">
        <v>276</v>
      </c>
      <c r="K86" s="230">
        <v>1533010002</v>
      </c>
      <c r="T86" s="232">
        <v>-12766756</v>
      </c>
      <c r="U86" s="229" t="s">
        <v>277</v>
      </c>
      <c r="AC86" s="229" t="s">
        <v>278</v>
      </c>
      <c r="AF86">
        <v>20240731</v>
      </c>
      <c r="AI86" s="233">
        <v>20240731</v>
      </c>
      <c r="AJ86">
        <v>8001309074</v>
      </c>
      <c r="AL86"/>
      <c r="AM86" s="230" t="s">
        <v>282</v>
      </c>
      <c r="AO86" s="234">
        <v>0</v>
      </c>
      <c r="AP86" s="232">
        <f t="shared" si="2"/>
        <v>12766756</v>
      </c>
      <c r="AQ86" s="230">
        <f t="shared" si="3"/>
        <v>7</v>
      </c>
    </row>
    <row r="87" spans="1:43" ht="13.8" customHeight="1">
      <c r="A87" s="228">
        <v>1</v>
      </c>
      <c r="B87" s="229" t="s">
        <v>273</v>
      </c>
      <c r="C87" s="230" t="s">
        <v>280</v>
      </c>
      <c r="D87" s="231">
        <v>45504</v>
      </c>
      <c r="E87" s="231">
        <v>45504</v>
      </c>
      <c r="F87" s="230" t="s">
        <v>281</v>
      </c>
      <c r="G87" s="228" t="s">
        <v>275</v>
      </c>
      <c r="I87" s="230">
        <v>59</v>
      </c>
      <c r="J87" s="228" t="s">
        <v>276</v>
      </c>
      <c r="K87" s="230">
        <v>1533010002</v>
      </c>
      <c r="T87" s="232">
        <v>-2296669</v>
      </c>
      <c r="U87" s="229" t="s">
        <v>277</v>
      </c>
      <c r="AC87" s="229" t="s">
        <v>278</v>
      </c>
      <c r="AF87">
        <v>20240731</v>
      </c>
      <c r="AI87" s="233">
        <v>20240731</v>
      </c>
      <c r="AJ87">
        <v>8002492410</v>
      </c>
      <c r="AL87"/>
      <c r="AM87" s="230" t="s">
        <v>297</v>
      </c>
      <c r="AO87" s="234">
        <v>0</v>
      </c>
      <c r="AP87" s="232">
        <f t="shared" si="2"/>
        <v>2296669</v>
      </c>
      <c r="AQ87" s="230">
        <f t="shared" si="3"/>
        <v>7</v>
      </c>
    </row>
    <row r="88" spans="1:43" ht="13.8" customHeight="1">
      <c r="A88" s="228">
        <v>1</v>
      </c>
      <c r="B88" s="229" t="s">
        <v>273</v>
      </c>
      <c r="C88" s="230" t="s">
        <v>280</v>
      </c>
      <c r="D88" s="231">
        <v>45504</v>
      </c>
      <c r="E88" s="231">
        <v>45504</v>
      </c>
      <c r="F88" s="230" t="s">
        <v>281</v>
      </c>
      <c r="G88" s="228" t="s">
        <v>275</v>
      </c>
      <c r="I88" s="230">
        <v>60</v>
      </c>
      <c r="J88" s="228" t="s">
        <v>276</v>
      </c>
      <c r="K88" s="230">
        <v>1533010002</v>
      </c>
      <c r="T88" s="232">
        <v>-28671155</v>
      </c>
      <c r="U88" s="229" t="s">
        <v>277</v>
      </c>
      <c r="AC88" s="229" t="s">
        <v>278</v>
      </c>
      <c r="AF88">
        <v>20240731</v>
      </c>
      <c r="AI88" s="233">
        <v>20240731</v>
      </c>
      <c r="AJ88">
        <v>8002514406</v>
      </c>
      <c r="AL88"/>
      <c r="AM88" s="230" t="s">
        <v>283</v>
      </c>
      <c r="AO88" s="234" t="s">
        <v>115</v>
      </c>
      <c r="AP88" s="232">
        <f t="shared" si="2"/>
        <v>28671155</v>
      </c>
      <c r="AQ88" s="230">
        <f t="shared" si="3"/>
        <v>7</v>
      </c>
    </row>
    <row r="89" spans="1:43" ht="13.8" customHeight="1">
      <c r="A89" s="228">
        <v>1</v>
      </c>
      <c r="B89" s="229" t="s">
        <v>273</v>
      </c>
      <c r="C89" s="230" t="s">
        <v>280</v>
      </c>
      <c r="D89" s="231">
        <v>45504</v>
      </c>
      <c r="E89" s="231">
        <v>45504</v>
      </c>
      <c r="F89" s="230" t="s">
        <v>281</v>
      </c>
      <c r="G89" s="228" t="s">
        <v>275</v>
      </c>
      <c r="I89" s="230">
        <v>61</v>
      </c>
      <c r="J89" s="228" t="s">
        <v>276</v>
      </c>
      <c r="K89" s="230">
        <v>1533010002</v>
      </c>
      <c r="T89" s="232">
        <v>-362973</v>
      </c>
      <c r="U89" s="229" t="s">
        <v>277</v>
      </c>
      <c r="AC89" s="229" t="s">
        <v>278</v>
      </c>
      <c r="AF89">
        <v>20240731</v>
      </c>
      <c r="AI89" s="233">
        <v>20240731</v>
      </c>
      <c r="AJ89">
        <v>8050011572</v>
      </c>
      <c r="AL89"/>
      <c r="AM89" s="230" t="s">
        <v>284</v>
      </c>
      <c r="AO89" s="234">
        <v>0</v>
      </c>
      <c r="AP89" s="232">
        <f t="shared" si="2"/>
        <v>362973</v>
      </c>
      <c r="AQ89" s="230">
        <f t="shared" si="3"/>
        <v>7</v>
      </c>
    </row>
    <row r="90" spans="1:43" ht="13.8" customHeight="1">
      <c r="A90" s="228">
        <v>1</v>
      </c>
      <c r="B90" s="229" t="s">
        <v>273</v>
      </c>
      <c r="C90" s="230" t="s">
        <v>280</v>
      </c>
      <c r="D90" s="231">
        <v>45504</v>
      </c>
      <c r="E90" s="231">
        <v>45504</v>
      </c>
      <c r="F90" s="230" t="s">
        <v>281</v>
      </c>
      <c r="G90" s="228" t="s">
        <v>275</v>
      </c>
      <c r="I90" s="230">
        <v>62</v>
      </c>
      <c r="J90" s="228" t="s">
        <v>276</v>
      </c>
      <c r="K90" s="230">
        <v>1533010002</v>
      </c>
      <c r="T90" s="232">
        <v>-866680</v>
      </c>
      <c r="U90" s="229" t="s">
        <v>277</v>
      </c>
      <c r="AC90" s="229" t="s">
        <v>278</v>
      </c>
      <c r="AF90">
        <v>20240731</v>
      </c>
      <c r="AI90" s="233">
        <v>20240731</v>
      </c>
      <c r="AJ90">
        <v>8140003371</v>
      </c>
      <c r="AL90"/>
      <c r="AM90" s="230" t="s">
        <v>299</v>
      </c>
      <c r="AO90" s="234" t="s">
        <v>82</v>
      </c>
      <c r="AP90" s="232">
        <f t="shared" si="2"/>
        <v>866680</v>
      </c>
      <c r="AQ90" s="230">
        <f t="shared" si="3"/>
        <v>7</v>
      </c>
    </row>
    <row r="91" spans="1:43" ht="13.8" customHeight="1">
      <c r="A91" s="228">
        <v>1</v>
      </c>
      <c r="B91" s="229" t="s">
        <v>273</v>
      </c>
      <c r="C91" s="230" t="s">
        <v>280</v>
      </c>
      <c r="D91" s="231">
        <v>45504</v>
      </c>
      <c r="E91" s="231">
        <v>45504</v>
      </c>
      <c r="F91" s="230" t="s">
        <v>281</v>
      </c>
      <c r="G91" s="228" t="s">
        <v>275</v>
      </c>
      <c r="I91" s="230">
        <v>63</v>
      </c>
      <c r="J91" s="228" t="s">
        <v>276</v>
      </c>
      <c r="K91" s="230">
        <v>1533010002</v>
      </c>
      <c r="T91" s="232">
        <v>-3410899</v>
      </c>
      <c r="U91" s="229" t="s">
        <v>277</v>
      </c>
      <c r="AC91" s="229" t="s">
        <v>278</v>
      </c>
      <c r="AF91">
        <v>20240731</v>
      </c>
      <c r="AI91" s="233">
        <v>20240731</v>
      </c>
      <c r="AJ91">
        <v>8301138310</v>
      </c>
      <c r="AL91"/>
      <c r="AM91" s="230" t="s">
        <v>287</v>
      </c>
      <c r="AO91" s="234">
        <v>0</v>
      </c>
      <c r="AP91" s="232">
        <f t="shared" si="2"/>
        <v>3410899</v>
      </c>
      <c r="AQ91" s="230">
        <f t="shared" si="3"/>
        <v>7</v>
      </c>
    </row>
    <row r="92" spans="1:43" ht="13.8" customHeight="1">
      <c r="A92" s="228">
        <v>1</v>
      </c>
      <c r="B92" s="229" t="s">
        <v>273</v>
      </c>
      <c r="C92" s="230" t="s">
        <v>280</v>
      </c>
      <c r="D92" s="231">
        <v>45504</v>
      </c>
      <c r="E92" s="231">
        <v>45504</v>
      </c>
      <c r="F92" s="230" t="s">
        <v>281</v>
      </c>
      <c r="G92" s="228" t="s">
        <v>275</v>
      </c>
      <c r="I92" s="230">
        <v>64</v>
      </c>
      <c r="J92" s="228" t="s">
        <v>276</v>
      </c>
      <c r="K92" s="230">
        <v>1533010002</v>
      </c>
      <c r="T92" s="232">
        <v>-10504478</v>
      </c>
      <c r="U92" s="229" t="s">
        <v>277</v>
      </c>
      <c r="AC92" s="229" t="s">
        <v>278</v>
      </c>
      <c r="AF92">
        <v>20240731</v>
      </c>
      <c r="AI92" s="233">
        <v>20240731</v>
      </c>
      <c r="AJ92">
        <v>8600021839</v>
      </c>
      <c r="AL92"/>
      <c r="AM92" s="230" t="s">
        <v>288</v>
      </c>
      <c r="AO92" s="234">
        <v>0</v>
      </c>
      <c r="AP92" s="232">
        <f t="shared" si="2"/>
        <v>10504478</v>
      </c>
      <c r="AQ92" s="230">
        <f t="shared" si="3"/>
        <v>7</v>
      </c>
    </row>
    <row r="93" spans="1:43" ht="13.8" customHeight="1">
      <c r="A93" s="228">
        <v>1</v>
      </c>
      <c r="B93" s="229" t="s">
        <v>273</v>
      </c>
      <c r="C93" s="230" t="s">
        <v>280</v>
      </c>
      <c r="D93" s="231">
        <v>45504</v>
      </c>
      <c r="E93" s="231">
        <v>45504</v>
      </c>
      <c r="F93" s="230" t="s">
        <v>281</v>
      </c>
      <c r="G93" s="228" t="s">
        <v>275</v>
      </c>
      <c r="I93" s="230">
        <v>65</v>
      </c>
      <c r="J93" s="228" t="s">
        <v>276</v>
      </c>
      <c r="K93" s="230">
        <v>1533010002</v>
      </c>
      <c r="T93" s="232">
        <v>-10427008</v>
      </c>
      <c r="U93" s="229" t="s">
        <v>277</v>
      </c>
      <c r="AC93" s="229" t="s">
        <v>278</v>
      </c>
      <c r="AF93">
        <v>20240731</v>
      </c>
      <c r="AI93" s="233">
        <v>20240731</v>
      </c>
      <c r="AJ93">
        <v>8600669427</v>
      </c>
      <c r="AL93"/>
      <c r="AM93" s="230" t="s">
        <v>289</v>
      </c>
      <c r="AO93" s="234" t="s">
        <v>101</v>
      </c>
      <c r="AP93" s="232">
        <f t="shared" si="2"/>
        <v>10427008</v>
      </c>
      <c r="AQ93" s="230">
        <f t="shared" si="3"/>
        <v>7</v>
      </c>
    </row>
    <row r="94" spans="1:43" ht="13.8" customHeight="1">
      <c r="A94" s="228">
        <v>1</v>
      </c>
      <c r="B94" s="229" t="s">
        <v>273</v>
      </c>
      <c r="C94" s="230" t="s">
        <v>280</v>
      </c>
      <c r="D94" s="231">
        <v>45504</v>
      </c>
      <c r="E94" s="231">
        <v>45504</v>
      </c>
      <c r="F94" s="230" t="s">
        <v>281</v>
      </c>
      <c r="G94" s="228" t="s">
        <v>275</v>
      </c>
      <c r="I94" s="230">
        <v>66</v>
      </c>
      <c r="J94" s="228" t="s">
        <v>276</v>
      </c>
      <c r="K94" s="230">
        <v>1533010002</v>
      </c>
      <c r="T94" s="232">
        <v>-12119203</v>
      </c>
      <c r="U94" s="229" t="s">
        <v>277</v>
      </c>
      <c r="AC94" s="229" t="s">
        <v>278</v>
      </c>
      <c r="AF94">
        <v>20240731</v>
      </c>
      <c r="AI94" s="233">
        <v>20240731</v>
      </c>
      <c r="AJ94">
        <v>9001562642</v>
      </c>
      <c r="AL94"/>
      <c r="AM94" s="230" t="s">
        <v>290</v>
      </c>
      <c r="AO94" s="234" t="s">
        <v>111</v>
      </c>
      <c r="AP94" s="232">
        <f t="shared" si="2"/>
        <v>12119203</v>
      </c>
      <c r="AQ94" s="230">
        <f t="shared" si="3"/>
        <v>7</v>
      </c>
    </row>
    <row r="95" spans="1:43" ht="13.8" customHeight="1">
      <c r="A95" s="228">
        <v>1</v>
      </c>
      <c r="B95" s="229" t="s">
        <v>273</v>
      </c>
      <c r="C95" s="230" t="s">
        <v>280</v>
      </c>
      <c r="D95" s="231">
        <v>45504</v>
      </c>
      <c r="E95" s="231">
        <v>45504</v>
      </c>
      <c r="F95" s="230" t="s">
        <v>281</v>
      </c>
      <c r="G95" s="228" t="s">
        <v>275</v>
      </c>
      <c r="I95" s="230">
        <v>67</v>
      </c>
      <c r="J95" s="228" t="s">
        <v>276</v>
      </c>
      <c r="K95" s="230">
        <v>1533010002</v>
      </c>
      <c r="T95" s="232">
        <v>-812000</v>
      </c>
      <c r="U95" s="229" t="s">
        <v>277</v>
      </c>
      <c r="AC95" s="229" t="s">
        <v>278</v>
      </c>
      <c r="AF95">
        <v>20240731</v>
      </c>
      <c r="AI95" s="233">
        <v>20240731</v>
      </c>
      <c r="AJ95">
        <v>9002983729</v>
      </c>
      <c r="AL95"/>
      <c r="AM95" s="230" t="s">
        <v>294</v>
      </c>
      <c r="AO95" s="234">
        <v>0</v>
      </c>
      <c r="AP95" s="232">
        <f t="shared" si="2"/>
        <v>812000</v>
      </c>
      <c r="AQ95" s="230">
        <f t="shared" si="3"/>
        <v>7</v>
      </c>
    </row>
    <row r="96" spans="1:43" ht="13.8" customHeight="1">
      <c r="A96" s="228">
        <v>1</v>
      </c>
      <c r="B96" s="229" t="s">
        <v>273</v>
      </c>
      <c r="C96" s="230" t="s">
        <v>280</v>
      </c>
      <c r="D96" s="231">
        <v>45504</v>
      </c>
      <c r="E96" s="231">
        <v>45504</v>
      </c>
      <c r="F96" s="230" t="s">
        <v>281</v>
      </c>
      <c r="G96" s="228" t="s">
        <v>275</v>
      </c>
      <c r="I96" s="230">
        <v>68</v>
      </c>
      <c r="J96" s="228" t="s">
        <v>276</v>
      </c>
      <c r="K96" s="230">
        <v>1533010002</v>
      </c>
      <c r="T96" s="232">
        <v>-43334</v>
      </c>
      <c r="U96" s="229" t="s">
        <v>277</v>
      </c>
      <c r="AC96" s="229" t="s">
        <v>278</v>
      </c>
      <c r="AF96">
        <v>20240731</v>
      </c>
      <c r="AI96" s="233">
        <v>20240731</v>
      </c>
      <c r="AJ96">
        <v>9006043500</v>
      </c>
      <c r="AL96"/>
      <c r="AM96" s="230" t="s">
        <v>295</v>
      </c>
      <c r="AO96" s="234">
        <v>0</v>
      </c>
      <c r="AP96" s="232">
        <f t="shared" si="2"/>
        <v>43334</v>
      </c>
      <c r="AQ96" s="230">
        <f t="shared" si="3"/>
        <v>7</v>
      </c>
    </row>
    <row r="97" spans="1:43" ht="13.8" customHeight="1">
      <c r="A97" s="228">
        <v>1</v>
      </c>
      <c r="B97" s="229" t="s">
        <v>273</v>
      </c>
      <c r="C97" s="230" t="s">
        <v>280</v>
      </c>
      <c r="D97" s="231">
        <v>45535</v>
      </c>
      <c r="E97" s="231">
        <v>45535</v>
      </c>
      <c r="F97" s="230" t="s">
        <v>281</v>
      </c>
      <c r="G97" s="228" t="s">
        <v>275</v>
      </c>
      <c r="I97" s="230">
        <v>51</v>
      </c>
      <c r="J97" s="228" t="s">
        <v>276</v>
      </c>
      <c r="K97" s="230">
        <v>1533010002</v>
      </c>
      <c r="T97" s="232">
        <v>-53941400</v>
      </c>
      <c r="U97" s="229" t="s">
        <v>277</v>
      </c>
      <c r="AC97" s="229" t="s">
        <v>278</v>
      </c>
      <c r="AF97">
        <v>20240831</v>
      </c>
      <c r="AI97" s="233">
        <v>20240831</v>
      </c>
      <c r="AJ97">
        <v>8000887022</v>
      </c>
      <c r="AL97"/>
      <c r="AM97" s="230" t="s">
        <v>292</v>
      </c>
      <c r="AO97" s="234" t="s">
        <v>108</v>
      </c>
      <c r="AP97" s="232">
        <f t="shared" si="2"/>
        <v>53941400</v>
      </c>
      <c r="AQ97" s="230">
        <f t="shared" si="3"/>
        <v>8</v>
      </c>
    </row>
    <row r="98" spans="1:43" ht="13.8" customHeight="1">
      <c r="A98" s="228">
        <v>1</v>
      </c>
      <c r="B98" s="229" t="s">
        <v>273</v>
      </c>
      <c r="C98" s="230" t="s">
        <v>280</v>
      </c>
      <c r="D98" s="231">
        <v>45535</v>
      </c>
      <c r="E98" s="231">
        <v>45535</v>
      </c>
      <c r="F98" s="230" t="s">
        <v>281</v>
      </c>
      <c r="G98" s="228" t="s">
        <v>275</v>
      </c>
      <c r="I98" s="230">
        <v>52</v>
      </c>
      <c r="J98" s="228" t="s">
        <v>276</v>
      </c>
      <c r="K98" s="230">
        <v>1533010002</v>
      </c>
      <c r="T98" s="232">
        <v>-2598016</v>
      </c>
      <c r="U98" s="229" t="s">
        <v>277</v>
      </c>
      <c r="AC98" s="229" t="s">
        <v>278</v>
      </c>
      <c r="AF98">
        <v>20240831</v>
      </c>
      <c r="AI98" s="233">
        <v>20240831</v>
      </c>
      <c r="AJ98">
        <v>8001309074</v>
      </c>
      <c r="AL98"/>
      <c r="AM98" s="230" t="s">
        <v>282</v>
      </c>
      <c r="AO98" s="234">
        <v>0</v>
      </c>
      <c r="AP98" s="232">
        <f t="shared" si="2"/>
        <v>2598016</v>
      </c>
      <c r="AQ98" s="230">
        <f t="shared" si="3"/>
        <v>8</v>
      </c>
    </row>
    <row r="99" spans="1:43" ht="13.8" customHeight="1">
      <c r="A99" s="228">
        <v>1</v>
      </c>
      <c r="B99" s="229" t="s">
        <v>273</v>
      </c>
      <c r="C99" s="230" t="s">
        <v>280</v>
      </c>
      <c r="D99" s="231">
        <v>45535</v>
      </c>
      <c r="E99" s="231">
        <v>45535</v>
      </c>
      <c r="F99" s="230" t="s">
        <v>281</v>
      </c>
      <c r="G99" s="228" t="s">
        <v>275</v>
      </c>
      <c r="I99" s="230">
        <v>53</v>
      </c>
      <c r="J99" s="228" t="s">
        <v>276</v>
      </c>
      <c r="K99" s="230">
        <v>1533010002</v>
      </c>
      <c r="T99" s="232">
        <v>-650000</v>
      </c>
      <c r="U99" s="229" t="s">
        <v>277</v>
      </c>
      <c r="AC99" s="229" t="s">
        <v>278</v>
      </c>
      <c r="AF99">
        <v>20240831</v>
      </c>
      <c r="AI99" s="233">
        <v>20240831</v>
      </c>
      <c r="AJ99">
        <v>8002492410</v>
      </c>
      <c r="AL99"/>
      <c r="AM99" s="230" t="s">
        <v>297</v>
      </c>
      <c r="AO99" s="234">
        <v>0</v>
      </c>
      <c r="AP99" s="232">
        <f t="shared" si="2"/>
        <v>650000</v>
      </c>
      <c r="AQ99" s="230">
        <f t="shared" si="3"/>
        <v>8</v>
      </c>
    </row>
    <row r="100" spans="1:43" ht="13.8" customHeight="1">
      <c r="A100" s="228">
        <v>1</v>
      </c>
      <c r="B100" s="229" t="s">
        <v>273</v>
      </c>
      <c r="C100" s="230" t="s">
        <v>280</v>
      </c>
      <c r="D100" s="231">
        <v>45535</v>
      </c>
      <c r="E100" s="231">
        <v>45535</v>
      </c>
      <c r="F100" s="230" t="s">
        <v>281</v>
      </c>
      <c r="G100" s="228" t="s">
        <v>275</v>
      </c>
      <c r="I100" s="230">
        <v>54</v>
      </c>
      <c r="J100" s="228" t="s">
        <v>276</v>
      </c>
      <c r="K100" s="230">
        <v>1533010002</v>
      </c>
      <c r="T100" s="232">
        <v>-39791220</v>
      </c>
      <c r="U100" s="229" t="s">
        <v>277</v>
      </c>
      <c r="AC100" s="229" t="s">
        <v>278</v>
      </c>
      <c r="AF100">
        <v>20240831</v>
      </c>
      <c r="AI100" s="233">
        <v>20240831</v>
      </c>
      <c r="AJ100">
        <v>8002514406</v>
      </c>
      <c r="AL100"/>
      <c r="AM100" s="230" t="s">
        <v>283</v>
      </c>
      <c r="AO100" s="234" t="s">
        <v>115</v>
      </c>
      <c r="AP100" s="232">
        <f t="shared" si="2"/>
        <v>39791220</v>
      </c>
      <c r="AQ100" s="230">
        <f t="shared" si="3"/>
        <v>8</v>
      </c>
    </row>
    <row r="101" spans="1:43" ht="13.8" customHeight="1">
      <c r="A101" s="228">
        <v>1</v>
      </c>
      <c r="B101" s="229" t="s">
        <v>273</v>
      </c>
      <c r="C101" s="230" t="s">
        <v>280</v>
      </c>
      <c r="D101" s="231">
        <v>45535</v>
      </c>
      <c r="E101" s="231">
        <v>45535</v>
      </c>
      <c r="F101" s="230" t="s">
        <v>281</v>
      </c>
      <c r="G101" s="228" t="s">
        <v>275</v>
      </c>
      <c r="I101" s="230">
        <v>55</v>
      </c>
      <c r="J101" s="228" t="s">
        <v>276</v>
      </c>
      <c r="K101" s="230">
        <v>1533010002</v>
      </c>
      <c r="T101" s="232">
        <v>-173334</v>
      </c>
      <c r="U101" s="229" t="s">
        <v>277</v>
      </c>
      <c r="AC101" s="229" t="s">
        <v>278</v>
      </c>
      <c r="AF101">
        <v>20240831</v>
      </c>
      <c r="AI101" s="233">
        <v>20240831</v>
      </c>
      <c r="AJ101">
        <v>8060083947</v>
      </c>
      <c r="AL101"/>
      <c r="AM101" s="230" t="s">
        <v>293</v>
      </c>
      <c r="AO101" s="234">
        <v>0</v>
      </c>
      <c r="AP101" s="232">
        <f t="shared" si="2"/>
        <v>173334</v>
      </c>
      <c r="AQ101" s="230">
        <f t="shared" si="3"/>
        <v>8</v>
      </c>
    </row>
    <row r="102" spans="1:43" ht="13.8" customHeight="1">
      <c r="A102" s="228">
        <v>1</v>
      </c>
      <c r="B102" s="229" t="s">
        <v>273</v>
      </c>
      <c r="C102" s="230" t="s">
        <v>280</v>
      </c>
      <c r="D102" s="231">
        <v>45535</v>
      </c>
      <c r="E102" s="231">
        <v>45535</v>
      </c>
      <c r="F102" s="230" t="s">
        <v>281</v>
      </c>
      <c r="G102" s="228" t="s">
        <v>275</v>
      </c>
      <c r="I102" s="230">
        <v>56</v>
      </c>
      <c r="J102" s="228" t="s">
        <v>276</v>
      </c>
      <c r="K102" s="230">
        <v>1533010002</v>
      </c>
      <c r="T102" s="232">
        <v>-921704</v>
      </c>
      <c r="U102" s="229" t="s">
        <v>277</v>
      </c>
      <c r="AC102" s="229" t="s">
        <v>278</v>
      </c>
      <c r="AF102">
        <v>20240831</v>
      </c>
      <c r="AI102" s="233">
        <v>20240831</v>
      </c>
      <c r="AJ102">
        <v>8300035647</v>
      </c>
      <c r="AL102"/>
      <c r="AM102" s="230" t="s">
        <v>286</v>
      </c>
      <c r="AO102" s="234" t="s">
        <v>109</v>
      </c>
      <c r="AP102" s="232">
        <f t="shared" si="2"/>
        <v>921704</v>
      </c>
      <c r="AQ102" s="230">
        <f t="shared" si="3"/>
        <v>8</v>
      </c>
    </row>
    <row r="103" spans="1:43" ht="13.8" customHeight="1">
      <c r="A103" s="228">
        <v>1</v>
      </c>
      <c r="B103" s="229" t="s">
        <v>273</v>
      </c>
      <c r="C103" s="230" t="s">
        <v>280</v>
      </c>
      <c r="D103" s="231">
        <v>45535</v>
      </c>
      <c r="E103" s="231">
        <v>45535</v>
      </c>
      <c r="F103" s="230" t="s">
        <v>281</v>
      </c>
      <c r="G103" s="228" t="s">
        <v>275</v>
      </c>
      <c r="I103" s="230">
        <v>57</v>
      </c>
      <c r="J103" s="228" t="s">
        <v>276</v>
      </c>
      <c r="K103" s="230">
        <v>1533010002</v>
      </c>
      <c r="T103" s="232">
        <v>-10094175</v>
      </c>
      <c r="U103" s="229" t="s">
        <v>277</v>
      </c>
      <c r="AC103" s="229" t="s">
        <v>278</v>
      </c>
      <c r="AF103">
        <v>20240831</v>
      </c>
      <c r="AI103" s="233">
        <v>20240831</v>
      </c>
      <c r="AJ103">
        <v>8301138310</v>
      </c>
      <c r="AL103"/>
      <c r="AM103" s="230" t="s">
        <v>287</v>
      </c>
      <c r="AO103" s="234">
        <v>0</v>
      </c>
      <c r="AP103" s="232">
        <f t="shared" si="2"/>
        <v>10094175</v>
      </c>
      <c r="AQ103" s="230">
        <f t="shared" si="3"/>
        <v>8</v>
      </c>
    </row>
    <row r="104" spans="1:43" ht="13.8" customHeight="1">
      <c r="A104" s="228">
        <v>1</v>
      </c>
      <c r="B104" s="229" t="s">
        <v>273</v>
      </c>
      <c r="C104" s="230" t="s">
        <v>280</v>
      </c>
      <c r="D104" s="231">
        <v>45535</v>
      </c>
      <c r="E104" s="231">
        <v>45535</v>
      </c>
      <c r="F104" s="230" t="s">
        <v>281</v>
      </c>
      <c r="G104" s="228" t="s">
        <v>275</v>
      </c>
      <c r="I104" s="230">
        <v>58</v>
      </c>
      <c r="J104" s="228" t="s">
        <v>276</v>
      </c>
      <c r="K104" s="230">
        <v>1533010002</v>
      </c>
      <c r="T104" s="232">
        <v>-19504055</v>
      </c>
      <c r="U104" s="229" t="s">
        <v>277</v>
      </c>
      <c r="AC104" s="229" t="s">
        <v>278</v>
      </c>
      <c r="AF104">
        <v>20240831</v>
      </c>
      <c r="AI104" s="233">
        <v>20240831</v>
      </c>
      <c r="AJ104">
        <v>8600021839</v>
      </c>
      <c r="AL104"/>
      <c r="AM104" s="230" t="s">
        <v>288</v>
      </c>
      <c r="AO104" s="234">
        <v>0</v>
      </c>
      <c r="AP104" s="232">
        <f t="shared" si="2"/>
        <v>19504055</v>
      </c>
      <c r="AQ104" s="230">
        <f t="shared" si="3"/>
        <v>8</v>
      </c>
    </row>
    <row r="105" spans="1:43" ht="13.8" customHeight="1">
      <c r="A105" s="228">
        <v>1</v>
      </c>
      <c r="B105" s="229" t="s">
        <v>273</v>
      </c>
      <c r="C105" s="230" t="s">
        <v>280</v>
      </c>
      <c r="D105" s="231">
        <v>45535</v>
      </c>
      <c r="E105" s="231">
        <v>45535</v>
      </c>
      <c r="F105" s="230" t="s">
        <v>281</v>
      </c>
      <c r="G105" s="228" t="s">
        <v>275</v>
      </c>
      <c r="I105" s="230">
        <v>59</v>
      </c>
      <c r="J105" s="228" t="s">
        <v>276</v>
      </c>
      <c r="K105" s="230">
        <v>1533010002</v>
      </c>
      <c r="T105" s="232">
        <v>-5191380</v>
      </c>
      <c r="U105" s="229" t="s">
        <v>277</v>
      </c>
      <c r="AC105" s="229" t="s">
        <v>278</v>
      </c>
      <c r="AF105">
        <v>20240831</v>
      </c>
      <c r="AI105" s="233">
        <v>20240831</v>
      </c>
      <c r="AJ105">
        <v>8600669427</v>
      </c>
      <c r="AL105"/>
      <c r="AM105" s="230" t="s">
        <v>289</v>
      </c>
      <c r="AO105" s="234" t="s">
        <v>101</v>
      </c>
      <c r="AP105" s="232">
        <f t="shared" si="2"/>
        <v>5191380</v>
      </c>
      <c r="AQ105" s="230">
        <f t="shared" si="3"/>
        <v>8</v>
      </c>
    </row>
    <row r="106" spans="1:43" ht="13.8" customHeight="1">
      <c r="A106" s="228">
        <v>1</v>
      </c>
      <c r="B106" s="229" t="s">
        <v>273</v>
      </c>
      <c r="C106" s="230" t="s">
        <v>280</v>
      </c>
      <c r="D106" s="231">
        <v>45535</v>
      </c>
      <c r="E106" s="231">
        <v>45535</v>
      </c>
      <c r="F106" s="230" t="s">
        <v>281</v>
      </c>
      <c r="G106" s="228" t="s">
        <v>275</v>
      </c>
      <c r="I106" s="230">
        <v>60</v>
      </c>
      <c r="J106" s="228" t="s">
        <v>276</v>
      </c>
      <c r="K106" s="230">
        <v>1533010002</v>
      </c>
      <c r="T106" s="232">
        <v>-5980155</v>
      </c>
      <c r="U106" s="229" t="s">
        <v>277</v>
      </c>
      <c r="AC106" s="229" t="s">
        <v>278</v>
      </c>
      <c r="AF106">
        <v>20240831</v>
      </c>
      <c r="AI106" s="233">
        <v>20240831</v>
      </c>
      <c r="AJ106">
        <v>8903030935</v>
      </c>
      <c r="AL106"/>
      <c r="AM106" s="230" t="s">
        <v>300</v>
      </c>
      <c r="AO106" s="234">
        <v>0</v>
      </c>
      <c r="AP106" s="232">
        <f t="shared" si="2"/>
        <v>5980155</v>
      </c>
      <c r="AQ106" s="230">
        <f t="shared" si="3"/>
        <v>8</v>
      </c>
    </row>
    <row r="107" spans="1:43" ht="13.8" customHeight="1">
      <c r="A107" s="228">
        <v>1</v>
      </c>
      <c r="B107" s="229" t="s">
        <v>273</v>
      </c>
      <c r="C107" s="230" t="s">
        <v>280</v>
      </c>
      <c r="D107" s="231">
        <v>45535</v>
      </c>
      <c r="E107" s="231">
        <v>45535</v>
      </c>
      <c r="F107" s="230" t="s">
        <v>281</v>
      </c>
      <c r="G107" s="228" t="s">
        <v>275</v>
      </c>
      <c r="I107" s="230">
        <v>61</v>
      </c>
      <c r="J107" s="228" t="s">
        <v>276</v>
      </c>
      <c r="K107" s="230">
        <v>1533010002</v>
      </c>
      <c r="T107" s="232">
        <v>-32189898</v>
      </c>
      <c r="U107" s="229" t="s">
        <v>277</v>
      </c>
      <c r="AC107" s="229" t="s">
        <v>278</v>
      </c>
      <c r="AF107">
        <v>20240831</v>
      </c>
      <c r="AI107" s="233">
        <v>20240831</v>
      </c>
      <c r="AJ107">
        <v>9001562642</v>
      </c>
      <c r="AL107"/>
      <c r="AM107" s="230" t="s">
        <v>290</v>
      </c>
      <c r="AO107" s="234" t="s">
        <v>111</v>
      </c>
      <c r="AP107" s="232">
        <f t="shared" si="2"/>
        <v>32189898</v>
      </c>
      <c r="AQ107" s="230">
        <f t="shared" si="3"/>
        <v>8</v>
      </c>
    </row>
    <row r="108" spans="1:43" ht="13.8" customHeight="1">
      <c r="A108" s="228">
        <v>1</v>
      </c>
      <c r="B108" s="229" t="s">
        <v>273</v>
      </c>
      <c r="C108" s="230" t="s">
        <v>280</v>
      </c>
      <c r="D108" s="231">
        <v>45565</v>
      </c>
      <c r="E108" s="231">
        <v>45565</v>
      </c>
      <c r="F108" s="230" t="s">
        <v>281</v>
      </c>
      <c r="G108" s="228" t="s">
        <v>275</v>
      </c>
      <c r="I108" s="230">
        <v>42</v>
      </c>
      <c r="J108" s="228" t="s">
        <v>276</v>
      </c>
      <c r="K108" s="230">
        <v>1533010002</v>
      </c>
      <c r="T108" s="232">
        <v>-30222489</v>
      </c>
      <c r="U108" s="229" t="s">
        <v>277</v>
      </c>
      <c r="AC108" s="229" t="s">
        <v>278</v>
      </c>
      <c r="AF108">
        <v>20240930</v>
      </c>
      <c r="AI108" s="233">
        <v>20240930</v>
      </c>
      <c r="AJ108">
        <v>8000887022</v>
      </c>
      <c r="AL108"/>
      <c r="AM108" s="230" t="s">
        <v>292</v>
      </c>
      <c r="AO108" s="234" t="s">
        <v>108</v>
      </c>
      <c r="AP108" s="232">
        <f t="shared" si="2"/>
        <v>30222489</v>
      </c>
      <c r="AQ108" s="230">
        <f t="shared" si="3"/>
        <v>9</v>
      </c>
    </row>
    <row r="109" spans="1:43" ht="13.8" customHeight="1">
      <c r="A109" s="228">
        <v>1</v>
      </c>
      <c r="B109" s="229" t="s">
        <v>273</v>
      </c>
      <c r="C109" s="230" t="s">
        <v>280</v>
      </c>
      <c r="D109" s="231">
        <v>45565</v>
      </c>
      <c r="E109" s="231">
        <v>45565</v>
      </c>
      <c r="F109" s="230" t="s">
        <v>281</v>
      </c>
      <c r="G109" s="228" t="s">
        <v>275</v>
      </c>
      <c r="I109" s="230">
        <v>43</v>
      </c>
      <c r="J109" s="228" t="s">
        <v>276</v>
      </c>
      <c r="K109" s="230">
        <v>1533010002</v>
      </c>
      <c r="T109" s="232">
        <v>-22400074</v>
      </c>
      <c r="U109" s="229" t="s">
        <v>277</v>
      </c>
      <c r="AC109" s="229" t="s">
        <v>278</v>
      </c>
      <c r="AF109">
        <v>20240930</v>
      </c>
      <c r="AI109" s="233">
        <v>20240930</v>
      </c>
      <c r="AJ109">
        <v>8001309074</v>
      </c>
      <c r="AL109"/>
      <c r="AM109" s="230" t="s">
        <v>282</v>
      </c>
      <c r="AO109" s="234">
        <v>0</v>
      </c>
      <c r="AP109" s="232">
        <f t="shared" si="2"/>
        <v>22400074</v>
      </c>
      <c r="AQ109" s="230">
        <f t="shared" si="3"/>
        <v>9</v>
      </c>
    </row>
    <row r="110" spans="1:43" ht="13.8" customHeight="1">
      <c r="A110" s="228">
        <v>1</v>
      </c>
      <c r="B110" s="229" t="s">
        <v>273</v>
      </c>
      <c r="C110" s="230" t="s">
        <v>280</v>
      </c>
      <c r="D110" s="231">
        <v>45565</v>
      </c>
      <c r="E110" s="231">
        <v>45565</v>
      </c>
      <c r="F110" s="230" t="s">
        <v>281</v>
      </c>
      <c r="G110" s="228" t="s">
        <v>275</v>
      </c>
      <c r="I110" s="230">
        <v>44</v>
      </c>
      <c r="J110" s="228" t="s">
        <v>276</v>
      </c>
      <c r="K110" s="230">
        <v>1533010002</v>
      </c>
      <c r="T110" s="232">
        <v>-11361923</v>
      </c>
      <c r="U110" s="229" t="s">
        <v>277</v>
      </c>
      <c r="AC110" s="229" t="s">
        <v>278</v>
      </c>
      <c r="AF110">
        <v>20240930</v>
      </c>
      <c r="AI110" s="233">
        <v>20240930</v>
      </c>
      <c r="AJ110">
        <v>8002514406</v>
      </c>
      <c r="AL110"/>
      <c r="AM110" s="230" t="s">
        <v>283</v>
      </c>
      <c r="AO110" s="234" t="s">
        <v>115</v>
      </c>
      <c r="AP110" s="232">
        <f t="shared" si="2"/>
        <v>11361923</v>
      </c>
      <c r="AQ110" s="230">
        <f t="shared" si="3"/>
        <v>9</v>
      </c>
    </row>
    <row r="111" spans="1:43" ht="13.8" customHeight="1">
      <c r="A111" s="228">
        <v>1</v>
      </c>
      <c r="B111" s="229" t="s">
        <v>273</v>
      </c>
      <c r="C111" s="230" t="s">
        <v>280</v>
      </c>
      <c r="D111" s="231">
        <v>45565</v>
      </c>
      <c r="E111" s="231">
        <v>45565</v>
      </c>
      <c r="F111" s="230" t="s">
        <v>281</v>
      </c>
      <c r="G111" s="228" t="s">
        <v>275</v>
      </c>
      <c r="I111" s="230">
        <v>45</v>
      </c>
      <c r="J111" s="228" t="s">
        <v>276</v>
      </c>
      <c r="K111" s="230">
        <v>1533010002</v>
      </c>
      <c r="T111" s="232">
        <v>-23833118</v>
      </c>
      <c r="U111" s="229" t="s">
        <v>277</v>
      </c>
      <c r="AC111" s="229" t="s">
        <v>278</v>
      </c>
      <c r="AF111">
        <v>20240930</v>
      </c>
      <c r="AI111" s="233">
        <v>20240930</v>
      </c>
      <c r="AJ111">
        <v>8300035647</v>
      </c>
      <c r="AL111"/>
      <c r="AM111" s="230" t="s">
        <v>286</v>
      </c>
      <c r="AO111" s="234" t="s">
        <v>109</v>
      </c>
      <c r="AP111" s="232">
        <f t="shared" si="2"/>
        <v>23833118</v>
      </c>
      <c r="AQ111" s="230">
        <f t="shared" si="3"/>
        <v>9</v>
      </c>
    </row>
    <row r="112" spans="1:43" ht="13.8" customHeight="1">
      <c r="A112" s="228">
        <v>1</v>
      </c>
      <c r="B112" s="229" t="s">
        <v>273</v>
      </c>
      <c r="C112" s="230" t="s">
        <v>280</v>
      </c>
      <c r="D112" s="231">
        <v>45565</v>
      </c>
      <c r="E112" s="231">
        <v>45565</v>
      </c>
      <c r="F112" s="230" t="s">
        <v>281</v>
      </c>
      <c r="G112" s="228" t="s">
        <v>275</v>
      </c>
      <c r="I112" s="230">
        <v>46</v>
      </c>
      <c r="J112" s="228" t="s">
        <v>276</v>
      </c>
      <c r="K112" s="230">
        <v>1533010002</v>
      </c>
      <c r="T112" s="232">
        <v>-27938166</v>
      </c>
      <c r="U112" s="229" t="s">
        <v>277</v>
      </c>
      <c r="AC112" s="229" t="s">
        <v>278</v>
      </c>
      <c r="AF112">
        <v>20240930</v>
      </c>
      <c r="AI112" s="233">
        <v>20240930</v>
      </c>
      <c r="AJ112">
        <v>8301138310</v>
      </c>
      <c r="AL112"/>
      <c r="AM112" s="230" t="s">
        <v>287</v>
      </c>
      <c r="AO112" s="234">
        <v>0</v>
      </c>
      <c r="AP112" s="232">
        <f t="shared" si="2"/>
        <v>27938166</v>
      </c>
      <c r="AQ112" s="230">
        <f t="shared" si="3"/>
        <v>9</v>
      </c>
    </row>
    <row r="113" spans="1:43" ht="13.8" customHeight="1">
      <c r="A113" s="228">
        <v>1</v>
      </c>
      <c r="B113" s="229" t="s">
        <v>273</v>
      </c>
      <c r="C113" s="230" t="s">
        <v>280</v>
      </c>
      <c r="D113" s="231">
        <v>45565</v>
      </c>
      <c r="E113" s="231">
        <v>45565</v>
      </c>
      <c r="F113" s="230" t="s">
        <v>281</v>
      </c>
      <c r="G113" s="228" t="s">
        <v>275</v>
      </c>
      <c r="I113" s="230">
        <v>47</v>
      </c>
      <c r="J113" s="228" t="s">
        <v>276</v>
      </c>
      <c r="K113" s="230">
        <v>1533010002</v>
      </c>
      <c r="T113" s="232">
        <v>-2630223</v>
      </c>
      <c r="U113" s="229" t="s">
        <v>277</v>
      </c>
      <c r="AC113" s="229" t="s">
        <v>278</v>
      </c>
      <c r="AF113">
        <v>20240930</v>
      </c>
      <c r="AI113" s="233">
        <v>20240930</v>
      </c>
      <c r="AJ113">
        <v>8600021839</v>
      </c>
      <c r="AL113"/>
      <c r="AM113" s="230" t="s">
        <v>288</v>
      </c>
      <c r="AO113" s="234">
        <v>0</v>
      </c>
      <c r="AP113" s="232">
        <f t="shared" si="2"/>
        <v>2630223</v>
      </c>
      <c r="AQ113" s="230">
        <f t="shared" si="3"/>
        <v>9</v>
      </c>
    </row>
    <row r="114" spans="1:43" ht="13.8" customHeight="1">
      <c r="A114" s="228">
        <v>1</v>
      </c>
      <c r="B114" s="229" t="s">
        <v>273</v>
      </c>
      <c r="C114" s="230" t="s">
        <v>280</v>
      </c>
      <c r="D114" s="231">
        <v>45565</v>
      </c>
      <c r="E114" s="231">
        <v>45565</v>
      </c>
      <c r="F114" s="230" t="s">
        <v>281</v>
      </c>
      <c r="G114" s="228" t="s">
        <v>275</v>
      </c>
      <c r="I114" s="230">
        <v>48</v>
      </c>
      <c r="J114" s="228" t="s">
        <v>276</v>
      </c>
      <c r="K114" s="230">
        <v>1533010002</v>
      </c>
      <c r="T114" s="232">
        <v>-12559118</v>
      </c>
      <c r="U114" s="229" t="s">
        <v>277</v>
      </c>
      <c r="AC114" s="229" t="s">
        <v>278</v>
      </c>
      <c r="AF114">
        <v>20240930</v>
      </c>
      <c r="AI114" s="233">
        <v>20240930</v>
      </c>
      <c r="AJ114">
        <v>8600669427</v>
      </c>
      <c r="AL114"/>
      <c r="AM114" s="230" t="s">
        <v>289</v>
      </c>
      <c r="AO114" s="234" t="s">
        <v>101</v>
      </c>
      <c r="AP114" s="232">
        <f t="shared" si="2"/>
        <v>12559118</v>
      </c>
      <c r="AQ114" s="230">
        <f t="shared" si="3"/>
        <v>9</v>
      </c>
    </row>
    <row r="115" spans="1:43" ht="13.8" customHeight="1">
      <c r="A115" s="228">
        <v>1</v>
      </c>
      <c r="B115" s="229" t="s">
        <v>273</v>
      </c>
      <c r="C115" s="230" t="s">
        <v>280</v>
      </c>
      <c r="D115" s="231">
        <v>45565</v>
      </c>
      <c r="E115" s="231">
        <v>45565</v>
      </c>
      <c r="F115" s="230" t="s">
        <v>281</v>
      </c>
      <c r="G115" s="228" t="s">
        <v>275</v>
      </c>
      <c r="I115" s="230">
        <v>49</v>
      </c>
      <c r="J115" s="228" t="s">
        <v>276</v>
      </c>
      <c r="K115" s="230">
        <v>1533010002</v>
      </c>
      <c r="T115" s="232">
        <v>-19208959</v>
      </c>
      <c r="U115" s="229" t="s">
        <v>277</v>
      </c>
      <c r="AC115" s="229" t="s">
        <v>278</v>
      </c>
      <c r="AF115">
        <v>20240930</v>
      </c>
      <c r="AI115" s="233">
        <v>20240930</v>
      </c>
      <c r="AJ115">
        <v>9001562642</v>
      </c>
      <c r="AL115"/>
      <c r="AM115" s="230" t="s">
        <v>290</v>
      </c>
      <c r="AO115" s="234" t="s">
        <v>111</v>
      </c>
      <c r="AP115" s="232">
        <f t="shared" si="2"/>
        <v>19208959</v>
      </c>
      <c r="AQ115" s="230">
        <f t="shared" si="3"/>
        <v>9</v>
      </c>
    </row>
    <row r="116" spans="1:43" ht="13.8" customHeight="1">
      <c r="A116" s="228">
        <v>1</v>
      </c>
      <c r="B116" s="229" t="s">
        <v>273</v>
      </c>
      <c r="C116" s="230" t="s">
        <v>280</v>
      </c>
      <c r="D116" s="231">
        <v>45565</v>
      </c>
      <c r="E116" s="231">
        <v>45565</v>
      </c>
      <c r="F116" s="230" t="s">
        <v>281</v>
      </c>
      <c r="G116" s="228" t="s">
        <v>275</v>
      </c>
      <c r="I116" s="230">
        <v>52</v>
      </c>
      <c r="J116" s="228" t="s">
        <v>276</v>
      </c>
      <c r="K116" s="230">
        <v>1533010002</v>
      </c>
      <c r="T116" s="232">
        <v>5980155</v>
      </c>
      <c r="U116" s="229" t="s">
        <v>277</v>
      </c>
      <c r="AC116" s="229" t="s">
        <v>278</v>
      </c>
      <c r="AF116">
        <v>20240930</v>
      </c>
      <c r="AI116" s="233">
        <v>20240930</v>
      </c>
      <c r="AJ116">
        <v>8903030935</v>
      </c>
      <c r="AL116"/>
      <c r="AM116" s="230" t="s">
        <v>300</v>
      </c>
      <c r="AO116" s="234">
        <v>0</v>
      </c>
      <c r="AP116" s="232">
        <f t="shared" si="2"/>
        <v>5980155</v>
      </c>
      <c r="AQ116" s="230">
        <f t="shared" si="3"/>
        <v>9</v>
      </c>
    </row>
    <row r="117" spans="1:43" ht="13.8" customHeight="1">
      <c r="A117" s="228">
        <v>1</v>
      </c>
      <c r="B117" s="229" t="s">
        <v>273</v>
      </c>
      <c r="C117" s="230" t="s">
        <v>280</v>
      </c>
      <c r="D117" s="231">
        <v>45565</v>
      </c>
      <c r="E117" s="231">
        <v>45565</v>
      </c>
      <c r="F117" s="230" t="s">
        <v>281</v>
      </c>
      <c r="G117" s="228" t="s">
        <v>275</v>
      </c>
      <c r="I117" s="230">
        <v>58</v>
      </c>
      <c r="J117" s="228" t="s">
        <v>276</v>
      </c>
      <c r="K117" s="230">
        <v>1533010002</v>
      </c>
      <c r="T117" s="232">
        <v>-2472464</v>
      </c>
      <c r="U117" s="229" t="s">
        <v>277</v>
      </c>
      <c r="AC117" s="229" t="s">
        <v>278</v>
      </c>
      <c r="AF117">
        <v>20240930</v>
      </c>
      <c r="AI117" s="233">
        <v>20240930</v>
      </c>
      <c r="AJ117">
        <v>8300035647</v>
      </c>
      <c r="AL117"/>
      <c r="AM117" s="230" t="s">
        <v>301</v>
      </c>
      <c r="AO117" s="234" t="s">
        <v>109</v>
      </c>
      <c r="AP117" s="232">
        <f t="shared" si="2"/>
        <v>2472464</v>
      </c>
      <c r="AQ117" s="230">
        <f t="shared" si="3"/>
        <v>9</v>
      </c>
    </row>
    <row r="118" spans="1:43" ht="13.8" customHeight="1">
      <c r="A118" s="228">
        <v>1</v>
      </c>
      <c r="B118" s="229" t="s">
        <v>273</v>
      </c>
      <c r="C118" s="230" t="s">
        <v>280</v>
      </c>
      <c r="D118" s="231">
        <v>45565</v>
      </c>
      <c r="E118" s="231">
        <v>45565</v>
      </c>
      <c r="F118" s="230" t="s">
        <v>281</v>
      </c>
      <c r="G118" s="228" t="s">
        <v>275</v>
      </c>
      <c r="I118" s="230">
        <v>63</v>
      </c>
      <c r="J118" s="228" t="s">
        <v>276</v>
      </c>
      <c r="K118" s="230">
        <v>1533010002</v>
      </c>
      <c r="T118" s="232">
        <v>-1340320</v>
      </c>
      <c r="U118" s="229" t="s">
        <v>277</v>
      </c>
      <c r="AC118" s="229" t="s">
        <v>278</v>
      </c>
      <c r="AF118">
        <v>20240930</v>
      </c>
      <c r="AI118" s="233">
        <v>20240930</v>
      </c>
      <c r="AJ118">
        <v>8909049961</v>
      </c>
      <c r="AL118"/>
      <c r="AM118" s="230" t="s">
        <v>302</v>
      </c>
      <c r="AO118" s="234">
        <v>0</v>
      </c>
      <c r="AP118" s="232">
        <f t="shared" si="2"/>
        <v>1340320</v>
      </c>
      <c r="AQ118" s="230">
        <f t="shared" si="3"/>
        <v>9</v>
      </c>
    </row>
    <row r="119" spans="1:43" ht="13.8" customHeight="1">
      <c r="A119" s="228">
        <v>1</v>
      </c>
      <c r="B119" s="229" t="s">
        <v>273</v>
      </c>
      <c r="C119" s="230" t="s">
        <v>280</v>
      </c>
      <c r="D119" s="231">
        <v>45565</v>
      </c>
      <c r="E119" s="231">
        <v>45565</v>
      </c>
      <c r="F119" s="230" t="s">
        <v>281</v>
      </c>
      <c r="G119" s="228" t="s">
        <v>275</v>
      </c>
      <c r="I119" s="230">
        <v>65</v>
      </c>
      <c r="J119" s="228" t="s">
        <v>276</v>
      </c>
      <c r="K119" s="230">
        <v>1533010002</v>
      </c>
      <c r="T119" s="232">
        <v>-43334</v>
      </c>
      <c r="U119" s="229" t="s">
        <v>277</v>
      </c>
      <c r="AC119" s="229" t="s">
        <v>278</v>
      </c>
      <c r="AF119">
        <v>20240930</v>
      </c>
      <c r="AI119" s="233">
        <v>20240930</v>
      </c>
      <c r="AJ119">
        <v>8060083947</v>
      </c>
      <c r="AL119"/>
      <c r="AM119" s="230" t="s">
        <v>298</v>
      </c>
      <c r="AO119" s="234">
        <v>0</v>
      </c>
      <c r="AP119" s="232">
        <f t="shared" si="2"/>
        <v>43334</v>
      </c>
      <c r="AQ119" s="230">
        <f t="shared" si="3"/>
        <v>9</v>
      </c>
    </row>
    <row r="120" spans="1:43" ht="13.8" customHeight="1">
      <c r="A120" s="228">
        <v>1</v>
      </c>
      <c r="B120" s="229" t="s">
        <v>273</v>
      </c>
      <c r="C120" s="230" t="s">
        <v>280</v>
      </c>
      <c r="D120" s="231">
        <v>45565</v>
      </c>
      <c r="E120" s="231">
        <v>45565</v>
      </c>
      <c r="F120" s="230" t="s">
        <v>281</v>
      </c>
      <c r="G120" s="228" t="s">
        <v>275</v>
      </c>
      <c r="I120" s="230">
        <v>215</v>
      </c>
      <c r="J120" s="228" t="s">
        <v>276</v>
      </c>
      <c r="K120" s="230">
        <v>1533010002</v>
      </c>
      <c r="T120" s="232">
        <v>43334</v>
      </c>
      <c r="U120" s="229" t="s">
        <v>277</v>
      </c>
      <c r="AC120" s="229" t="s">
        <v>278</v>
      </c>
      <c r="AF120">
        <v>20240930</v>
      </c>
      <c r="AI120" s="233">
        <v>20240930</v>
      </c>
      <c r="AJ120">
        <v>8060083947</v>
      </c>
      <c r="AL120"/>
      <c r="AM120" s="230" t="s">
        <v>298</v>
      </c>
      <c r="AO120" s="234">
        <v>0</v>
      </c>
      <c r="AP120" s="232">
        <f t="shared" si="2"/>
        <v>43334</v>
      </c>
      <c r="AQ120" s="230">
        <f t="shared" si="3"/>
        <v>9</v>
      </c>
    </row>
    <row r="121" spans="1:43" ht="13.8" customHeight="1">
      <c r="A121" s="228">
        <v>1</v>
      </c>
      <c r="B121" s="229" t="s">
        <v>273</v>
      </c>
      <c r="C121" s="230" t="s">
        <v>280</v>
      </c>
      <c r="D121" s="231">
        <v>45565</v>
      </c>
      <c r="E121" s="231">
        <v>45565</v>
      </c>
      <c r="F121" s="230" t="s">
        <v>281</v>
      </c>
      <c r="G121" s="228" t="s">
        <v>275</v>
      </c>
      <c r="I121" s="230">
        <v>217</v>
      </c>
      <c r="J121" s="228" t="s">
        <v>276</v>
      </c>
      <c r="K121" s="230">
        <v>1533010002</v>
      </c>
      <c r="T121" s="232">
        <v>-43334</v>
      </c>
      <c r="U121" s="229" t="s">
        <v>277</v>
      </c>
      <c r="AC121" s="229" t="s">
        <v>278</v>
      </c>
      <c r="AF121">
        <v>20240930</v>
      </c>
      <c r="AI121" s="233">
        <v>20240930</v>
      </c>
      <c r="AJ121">
        <v>8060083947</v>
      </c>
      <c r="AL121"/>
      <c r="AM121" s="230" t="s">
        <v>298</v>
      </c>
      <c r="AO121" s="234">
        <v>0</v>
      </c>
      <c r="AP121" s="232">
        <f t="shared" si="2"/>
        <v>43334</v>
      </c>
      <c r="AQ121" s="230">
        <f t="shared" si="3"/>
        <v>9</v>
      </c>
    </row>
    <row r="122" spans="1:43" ht="13.8" customHeight="1">
      <c r="A122" s="228">
        <v>1</v>
      </c>
      <c r="B122" s="229" t="s">
        <v>273</v>
      </c>
      <c r="C122" s="230" t="s">
        <v>280</v>
      </c>
      <c r="D122" s="231">
        <v>45596</v>
      </c>
      <c r="E122" s="231">
        <v>45596</v>
      </c>
      <c r="F122" s="230" t="s">
        <v>281</v>
      </c>
      <c r="G122" s="228" t="s">
        <v>275</v>
      </c>
      <c r="I122" s="230">
        <v>54</v>
      </c>
      <c r="J122" s="228" t="s">
        <v>276</v>
      </c>
      <c r="K122" s="230">
        <v>1533010002</v>
      </c>
      <c r="T122" s="232">
        <v>-31103667</v>
      </c>
      <c r="U122" s="229" t="s">
        <v>277</v>
      </c>
      <c r="AC122" s="229" t="s">
        <v>278</v>
      </c>
      <c r="AF122">
        <v>20241031</v>
      </c>
      <c r="AI122" s="233">
        <v>20241031</v>
      </c>
      <c r="AJ122">
        <v>8000887022</v>
      </c>
      <c r="AL122"/>
      <c r="AM122" s="230" t="s">
        <v>292</v>
      </c>
      <c r="AO122" s="234" t="s">
        <v>108</v>
      </c>
      <c r="AP122" s="232">
        <f t="shared" si="2"/>
        <v>31103667</v>
      </c>
      <c r="AQ122" s="230">
        <f t="shared" si="3"/>
        <v>10</v>
      </c>
    </row>
    <row r="123" spans="1:43" ht="13.8" customHeight="1">
      <c r="A123" s="228">
        <v>1</v>
      </c>
      <c r="B123" s="229" t="s">
        <v>273</v>
      </c>
      <c r="C123" s="230" t="s">
        <v>280</v>
      </c>
      <c r="D123" s="231">
        <v>45596</v>
      </c>
      <c r="E123" s="231">
        <v>45596</v>
      </c>
      <c r="F123" s="230" t="s">
        <v>281</v>
      </c>
      <c r="G123" s="228" t="s">
        <v>275</v>
      </c>
      <c r="I123" s="230">
        <v>55</v>
      </c>
      <c r="J123" s="228" t="s">
        <v>276</v>
      </c>
      <c r="K123" s="230">
        <v>1533010002</v>
      </c>
      <c r="T123" s="232">
        <v>-657062</v>
      </c>
      <c r="U123" s="229" t="s">
        <v>277</v>
      </c>
      <c r="AC123" s="229" t="s">
        <v>278</v>
      </c>
      <c r="AF123">
        <v>20241031</v>
      </c>
      <c r="AI123" s="233">
        <v>20241031</v>
      </c>
      <c r="AJ123">
        <v>8001309074</v>
      </c>
      <c r="AL123"/>
      <c r="AM123" s="230" t="s">
        <v>282</v>
      </c>
      <c r="AO123" s="234">
        <v>0</v>
      </c>
      <c r="AP123" s="232">
        <f t="shared" si="2"/>
        <v>657062</v>
      </c>
      <c r="AQ123" s="230">
        <f t="shared" si="3"/>
        <v>10</v>
      </c>
    </row>
    <row r="124" spans="1:43" ht="13.8" customHeight="1">
      <c r="A124" s="228">
        <v>1</v>
      </c>
      <c r="B124" s="229" t="s">
        <v>273</v>
      </c>
      <c r="C124" s="230" t="s">
        <v>280</v>
      </c>
      <c r="D124" s="231">
        <v>45596</v>
      </c>
      <c r="E124" s="231">
        <v>45596</v>
      </c>
      <c r="F124" s="230" t="s">
        <v>281</v>
      </c>
      <c r="G124" s="228" t="s">
        <v>275</v>
      </c>
      <c r="I124" s="230">
        <v>56</v>
      </c>
      <c r="J124" s="228" t="s">
        <v>276</v>
      </c>
      <c r="K124" s="230">
        <v>1533010002</v>
      </c>
      <c r="T124" s="232">
        <v>-1776671</v>
      </c>
      <c r="U124" s="229" t="s">
        <v>277</v>
      </c>
      <c r="AC124" s="229" t="s">
        <v>278</v>
      </c>
      <c r="AF124">
        <v>20241031</v>
      </c>
      <c r="AI124" s="233">
        <v>20241031</v>
      </c>
      <c r="AJ124">
        <v>8002492410</v>
      </c>
      <c r="AL124"/>
      <c r="AM124" s="230" t="s">
        <v>297</v>
      </c>
      <c r="AO124" s="234">
        <v>0</v>
      </c>
      <c r="AP124" s="232">
        <f t="shared" si="2"/>
        <v>1776671</v>
      </c>
      <c r="AQ124" s="230">
        <f t="shared" si="3"/>
        <v>10</v>
      </c>
    </row>
    <row r="125" spans="1:43" ht="13.8" customHeight="1">
      <c r="A125" s="228">
        <v>1</v>
      </c>
      <c r="B125" s="229" t="s">
        <v>273</v>
      </c>
      <c r="C125" s="230" t="s">
        <v>280</v>
      </c>
      <c r="D125" s="231">
        <v>45596</v>
      </c>
      <c r="E125" s="231">
        <v>45596</v>
      </c>
      <c r="F125" s="230" t="s">
        <v>281</v>
      </c>
      <c r="G125" s="228" t="s">
        <v>275</v>
      </c>
      <c r="I125" s="230">
        <v>57</v>
      </c>
      <c r="J125" s="228" t="s">
        <v>276</v>
      </c>
      <c r="K125" s="230">
        <v>1533010002</v>
      </c>
      <c r="T125" s="232">
        <v>-34883812</v>
      </c>
      <c r="U125" s="229" t="s">
        <v>277</v>
      </c>
      <c r="AC125" s="229" t="s">
        <v>278</v>
      </c>
      <c r="AF125">
        <v>20241031</v>
      </c>
      <c r="AI125" s="233">
        <v>20241031</v>
      </c>
      <c r="AJ125">
        <v>8002514406</v>
      </c>
      <c r="AL125"/>
      <c r="AM125" s="230" t="s">
        <v>283</v>
      </c>
      <c r="AO125" s="234" t="s">
        <v>115</v>
      </c>
      <c r="AP125" s="232">
        <f t="shared" si="2"/>
        <v>34883812</v>
      </c>
      <c r="AQ125" s="230">
        <f t="shared" si="3"/>
        <v>10</v>
      </c>
    </row>
    <row r="126" spans="1:43" ht="13.8" customHeight="1">
      <c r="A126" s="228">
        <v>1</v>
      </c>
      <c r="B126" s="229" t="s">
        <v>273</v>
      </c>
      <c r="C126" s="230" t="s">
        <v>280</v>
      </c>
      <c r="D126" s="231">
        <v>45596</v>
      </c>
      <c r="E126" s="231">
        <v>45596</v>
      </c>
      <c r="F126" s="230" t="s">
        <v>281</v>
      </c>
      <c r="G126" s="228" t="s">
        <v>275</v>
      </c>
      <c r="I126" s="230">
        <v>58</v>
      </c>
      <c r="J126" s="228" t="s">
        <v>276</v>
      </c>
      <c r="K126" s="230">
        <v>1533010002</v>
      </c>
      <c r="T126" s="232">
        <v>-426669</v>
      </c>
      <c r="U126" s="229" t="s">
        <v>277</v>
      </c>
      <c r="AC126" s="229" t="s">
        <v>278</v>
      </c>
      <c r="AF126">
        <v>20241031</v>
      </c>
      <c r="AI126" s="233">
        <v>20241031</v>
      </c>
      <c r="AJ126">
        <v>8060083947</v>
      </c>
      <c r="AL126"/>
      <c r="AM126" s="230" t="s">
        <v>293</v>
      </c>
      <c r="AO126" s="234">
        <v>0</v>
      </c>
      <c r="AP126" s="232">
        <f t="shared" si="2"/>
        <v>426669</v>
      </c>
      <c r="AQ126" s="230">
        <f t="shared" si="3"/>
        <v>10</v>
      </c>
    </row>
    <row r="127" spans="1:43" ht="13.8" customHeight="1">
      <c r="A127" s="228">
        <v>1</v>
      </c>
      <c r="B127" s="229" t="s">
        <v>273</v>
      </c>
      <c r="C127" s="230" t="s">
        <v>280</v>
      </c>
      <c r="D127" s="231">
        <v>45596</v>
      </c>
      <c r="E127" s="231">
        <v>45596</v>
      </c>
      <c r="F127" s="230" t="s">
        <v>281</v>
      </c>
      <c r="G127" s="228" t="s">
        <v>275</v>
      </c>
      <c r="I127" s="230">
        <v>59</v>
      </c>
      <c r="J127" s="228" t="s">
        <v>276</v>
      </c>
      <c r="K127" s="230">
        <v>1533010002</v>
      </c>
      <c r="T127" s="232">
        <v>-130002</v>
      </c>
      <c r="U127" s="229" t="s">
        <v>277</v>
      </c>
      <c r="AC127" s="229" t="s">
        <v>278</v>
      </c>
      <c r="AF127">
        <v>20241031</v>
      </c>
      <c r="AI127" s="233">
        <v>20241031</v>
      </c>
      <c r="AJ127">
        <v>8140003371</v>
      </c>
      <c r="AL127"/>
      <c r="AM127" s="230" t="s">
        <v>299</v>
      </c>
      <c r="AO127" s="234" t="s">
        <v>82</v>
      </c>
      <c r="AP127" s="232">
        <f t="shared" si="2"/>
        <v>130002</v>
      </c>
      <c r="AQ127" s="230">
        <f t="shared" si="3"/>
        <v>10</v>
      </c>
    </row>
    <row r="128" spans="1:43" ht="13.8" customHeight="1">
      <c r="A128" s="228">
        <v>1</v>
      </c>
      <c r="B128" s="229" t="s">
        <v>273</v>
      </c>
      <c r="C128" s="230" t="s">
        <v>280</v>
      </c>
      <c r="D128" s="231">
        <v>45596</v>
      </c>
      <c r="E128" s="231">
        <v>45596</v>
      </c>
      <c r="F128" s="230" t="s">
        <v>281</v>
      </c>
      <c r="G128" s="228" t="s">
        <v>275</v>
      </c>
      <c r="I128" s="230">
        <v>60</v>
      </c>
      <c r="J128" s="228" t="s">
        <v>276</v>
      </c>
      <c r="K128" s="230">
        <v>1533010002</v>
      </c>
      <c r="T128" s="232">
        <v>-38837</v>
      </c>
      <c r="U128" s="229" t="s">
        <v>277</v>
      </c>
      <c r="AC128" s="229" t="s">
        <v>278</v>
      </c>
      <c r="AF128">
        <v>20241031</v>
      </c>
      <c r="AI128" s="233">
        <v>20241031</v>
      </c>
      <c r="AJ128">
        <v>8300035647</v>
      </c>
      <c r="AL128"/>
      <c r="AM128" s="230" t="s">
        <v>286</v>
      </c>
      <c r="AO128" s="234" t="s">
        <v>109</v>
      </c>
      <c r="AP128" s="232">
        <f t="shared" si="2"/>
        <v>38837</v>
      </c>
      <c r="AQ128" s="230">
        <f t="shared" si="3"/>
        <v>10</v>
      </c>
    </row>
    <row r="129" spans="1:43" ht="13.8" customHeight="1">
      <c r="A129" s="228">
        <v>1</v>
      </c>
      <c r="B129" s="229" t="s">
        <v>273</v>
      </c>
      <c r="C129" s="230" t="s">
        <v>280</v>
      </c>
      <c r="D129" s="231">
        <v>45596</v>
      </c>
      <c r="E129" s="231">
        <v>45596</v>
      </c>
      <c r="F129" s="230" t="s">
        <v>281</v>
      </c>
      <c r="G129" s="228" t="s">
        <v>275</v>
      </c>
      <c r="I129" s="230">
        <v>61</v>
      </c>
      <c r="J129" s="228" t="s">
        <v>276</v>
      </c>
      <c r="K129" s="230">
        <v>1533010002</v>
      </c>
      <c r="T129" s="232">
        <v>-8563922</v>
      </c>
      <c r="U129" s="229" t="s">
        <v>277</v>
      </c>
      <c r="AC129" s="229" t="s">
        <v>278</v>
      </c>
      <c r="AF129">
        <v>20241031</v>
      </c>
      <c r="AI129" s="233">
        <v>20241031</v>
      </c>
      <c r="AJ129">
        <v>8301138310</v>
      </c>
      <c r="AL129"/>
      <c r="AM129" s="230" t="s">
        <v>287</v>
      </c>
      <c r="AO129" s="234">
        <v>0</v>
      </c>
      <c r="AP129" s="232">
        <f t="shared" si="2"/>
        <v>8563922</v>
      </c>
      <c r="AQ129" s="230">
        <f t="shared" si="3"/>
        <v>10</v>
      </c>
    </row>
    <row r="130" spans="1:43" ht="13.8" customHeight="1">
      <c r="A130" s="228">
        <v>1</v>
      </c>
      <c r="B130" s="229" t="s">
        <v>273</v>
      </c>
      <c r="C130" s="230" t="s">
        <v>280</v>
      </c>
      <c r="D130" s="231">
        <v>45596</v>
      </c>
      <c r="E130" s="231">
        <v>45596</v>
      </c>
      <c r="F130" s="230" t="s">
        <v>281</v>
      </c>
      <c r="G130" s="228" t="s">
        <v>275</v>
      </c>
      <c r="I130" s="230">
        <v>62</v>
      </c>
      <c r="J130" s="228" t="s">
        <v>276</v>
      </c>
      <c r="K130" s="230">
        <v>1533010002</v>
      </c>
      <c r="T130" s="232">
        <v>-3097066</v>
      </c>
      <c r="U130" s="229" t="s">
        <v>277</v>
      </c>
      <c r="AC130" s="229" t="s">
        <v>278</v>
      </c>
      <c r="AF130">
        <v>20241031</v>
      </c>
      <c r="AI130" s="233">
        <v>20241031</v>
      </c>
      <c r="AJ130">
        <v>8600021839</v>
      </c>
      <c r="AL130"/>
      <c r="AM130" s="230" t="s">
        <v>288</v>
      </c>
      <c r="AO130" s="234">
        <v>0</v>
      </c>
      <c r="AP130" s="232">
        <f t="shared" si="2"/>
        <v>3097066</v>
      </c>
      <c r="AQ130" s="230">
        <f t="shared" si="3"/>
        <v>10</v>
      </c>
    </row>
    <row r="131" spans="1:43" ht="13.8" customHeight="1">
      <c r="A131" s="228">
        <v>1</v>
      </c>
      <c r="B131" s="229" t="s">
        <v>273</v>
      </c>
      <c r="C131" s="230" t="s">
        <v>280</v>
      </c>
      <c r="D131" s="231">
        <v>45596</v>
      </c>
      <c r="E131" s="231">
        <v>45596</v>
      </c>
      <c r="F131" s="230" t="s">
        <v>281</v>
      </c>
      <c r="G131" s="228" t="s">
        <v>275</v>
      </c>
      <c r="I131" s="230">
        <v>63</v>
      </c>
      <c r="J131" s="228" t="s">
        <v>276</v>
      </c>
      <c r="K131" s="230">
        <v>1533010002</v>
      </c>
      <c r="T131" s="232">
        <v>-14499561</v>
      </c>
      <c r="U131" s="229" t="s">
        <v>277</v>
      </c>
      <c r="AC131" s="229" t="s">
        <v>278</v>
      </c>
      <c r="AF131">
        <v>20241031</v>
      </c>
      <c r="AI131" s="233">
        <v>20241031</v>
      </c>
      <c r="AJ131">
        <v>8600669427</v>
      </c>
      <c r="AL131"/>
      <c r="AM131" s="230" t="s">
        <v>289</v>
      </c>
      <c r="AO131" s="234" t="s">
        <v>101</v>
      </c>
      <c r="AP131" s="232">
        <f t="shared" ref="AP131:AP194" si="4">+ABS(T131)</f>
        <v>14499561</v>
      </c>
      <c r="AQ131" s="230">
        <f t="shared" ref="AQ131:AQ194" si="5">+MONTH(D131)</f>
        <v>10</v>
      </c>
    </row>
    <row r="132" spans="1:43" ht="13.8" customHeight="1">
      <c r="A132" s="228">
        <v>1</v>
      </c>
      <c r="B132" s="229" t="s">
        <v>273</v>
      </c>
      <c r="C132" s="230" t="s">
        <v>280</v>
      </c>
      <c r="D132" s="231">
        <v>45596</v>
      </c>
      <c r="E132" s="231">
        <v>45596</v>
      </c>
      <c r="F132" s="230" t="s">
        <v>281</v>
      </c>
      <c r="G132" s="228" t="s">
        <v>275</v>
      </c>
      <c r="I132" s="230">
        <v>64</v>
      </c>
      <c r="J132" s="228" t="s">
        <v>276</v>
      </c>
      <c r="K132" s="230">
        <v>1533010002</v>
      </c>
      <c r="T132" s="232">
        <v>-3565005</v>
      </c>
      <c r="U132" s="229" t="s">
        <v>277</v>
      </c>
      <c r="AC132" s="229" t="s">
        <v>278</v>
      </c>
      <c r="AF132">
        <v>20241031</v>
      </c>
      <c r="AI132" s="233">
        <v>20241031</v>
      </c>
      <c r="AJ132">
        <v>8903030935</v>
      </c>
      <c r="AL132"/>
      <c r="AM132" s="230" t="s">
        <v>300</v>
      </c>
      <c r="AO132" s="234">
        <v>0</v>
      </c>
      <c r="AP132" s="232">
        <f t="shared" si="4"/>
        <v>3565005</v>
      </c>
      <c r="AQ132" s="230">
        <f t="shared" si="5"/>
        <v>10</v>
      </c>
    </row>
    <row r="133" spans="1:43" ht="13.8" customHeight="1">
      <c r="A133" s="228">
        <v>1</v>
      </c>
      <c r="B133" s="229" t="s">
        <v>273</v>
      </c>
      <c r="C133" s="230" t="s">
        <v>280</v>
      </c>
      <c r="D133" s="231">
        <v>45596</v>
      </c>
      <c r="E133" s="231">
        <v>45596</v>
      </c>
      <c r="F133" s="230" t="s">
        <v>281</v>
      </c>
      <c r="G133" s="228" t="s">
        <v>275</v>
      </c>
      <c r="I133" s="230">
        <v>65</v>
      </c>
      <c r="J133" s="228" t="s">
        <v>276</v>
      </c>
      <c r="K133" s="230">
        <v>1533010002</v>
      </c>
      <c r="T133" s="232">
        <v>-44349074</v>
      </c>
      <c r="U133" s="229" t="s">
        <v>277</v>
      </c>
      <c r="AC133" s="229" t="s">
        <v>278</v>
      </c>
      <c r="AF133">
        <v>20241031</v>
      </c>
      <c r="AI133" s="233">
        <v>20241031</v>
      </c>
      <c r="AJ133">
        <v>9001562642</v>
      </c>
      <c r="AL133"/>
      <c r="AM133" s="230" t="s">
        <v>290</v>
      </c>
      <c r="AO133" s="234" t="s">
        <v>111</v>
      </c>
      <c r="AP133" s="232">
        <f t="shared" si="4"/>
        <v>44349074</v>
      </c>
      <c r="AQ133" s="230">
        <f t="shared" si="5"/>
        <v>10</v>
      </c>
    </row>
    <row r="134" spans="1:43" ht="13.8" customHeight="1">
      <c r="A134" s="228">
        <v>1</v>
      </c>
      <c r="B134" s="229" t="s">
        <v>273</v>
      </c>
      <c r="C134" s="230" t="s">
        <v>280</v>
      </c>
      <c r="D134" s="231">
        <v>45596</v>
      </c>
      <c r="E134" s="231">
        <v>45596</v>
      </c>
      <c r="F134" s="230" t="s">
        <v>281</v>
      </c>
      <c r="G134" s="228" t="s">
        <v>275</v>
      </c>
      <c r="I134" s="230">
        <v>66</v>
      </c>
      <c r="J134" s="228" t="s">
        <v>276</v>
      </c>
      <c r="K134" s="230">
        <v>1533010002</v>
      </c>
      <c r="T134" s="232">
        <v>-390000</v>
      </c>
      <c r="U134" s="229" t="s">
        <v>277</v>
      </c>
      <c r="AC134" s="229" t="s">
        <v>278</v>
      </c>
      <c r="AF134">
        <v>20241031</v>
      </c>
      <c r="AI134" s="233">
        <v>20241031</v>
      </c>
      <c r="AJ134">
        <v>9002983729</v>
      </c>
      <c r="AL134"/>
      <c r="AM134" s="230" t="s">
        <v>294</v>
      </c>
      <c r="AO134" s="234">
        <v>0</v>
      </c>
      <c r="AP134" s="232">
        <f t="shared" si="4"/>
        <v>390000</v>
      </c>
      <c r="AQ134" s="230">
        <f t="shared" si="5"/>
        <v>10</v>
      </c>
    </row>
    <row r="135" spans="1:43" ht="13.8" customHeight="1">
      <c r="A135" s="228">
        <v>1</v>
      </c>
      <c r="B135" s="229" t="s">
        <v>273</v>
      </c>
      <c r="C135" s="230" t="s">
        <v>280</v>
      </c>
      <c r="D135" s="231">
        <v>45596</v>
      </c>
      <c r="E135" s="231">
        <v>45596</v>
      </c>
      <c r="F135" s="230" t="s">
        <v>281</v>
      </c>
      <c r="G135" s="228" t="s">
        <v>275</v>
      </c>
      <c r="I135" s="230">
        <v>67</v>
      </c>
      <c r="J135" s="228" t="s">
        <v>276</v>
      </c>
      <c r="K135" s="230">
        <v>1533010002</v>
      </c>
      <c r="T135" s="232">
        <v>-21343216</v>
      </c>
      <c r="U135" s="229" t="s">
        <v>277</v>
      </c>
      <c r="AC135" s="229" t="s">
        <v>278</v>
      </c>
      <c r="AF135">
        <v>20241031</v>
      </c>
      <c r="AI135" s="233">
        <v>20241031</v>
      </c>
      <c r="AJ135">
        <v>9010974735</v>
      </c>
      <c r="AL135"/>
      <c r="AM135" s="230" t="s">
        <v>303</v>
      </c>
      <c r="AO135" s="234">
        <v>0</v>
      </c>
      <c r="AP135" s="232">
        <f t="shared" si="4"/>
        <v>21343216</v>
      </c>
      <c r="AQ135" s="230">
        <f t="shared" si="5"/>
        <v>10</v>
      </c>
    </row>
    <row r="136" spans="1:43" ht="13.8" customHeight="1">
      <c r="A136" s="228">
        <v>1</v>
      </c>
      <c r="B136" s="229" t="s">
        <v>273</v>
      </c>
      <c r="C136" s="230" t="s">
        <v>280</v>
      </c>
      <c r="D136" s="231">
        <v>45596</v>
      </c>
      <c r="E136" s="231">
        <v>45596</v>
      </c>
      <c r="F136" s="230" t="s">
        <v>281</v>
      </c>
      <c r="G136" s="228" t="s">
        <v>275</v>
      </c>
      <c r="I136" s="230">
        <v>86</v>
      </c>
      <c r="J136" s="228" t="s">
        <v>276</v>
      </c>
      <c r="K136" s="230">
        <v>1533010002</v>
      </c>
      <c r="T136" s="232">
        <v>1022800</v>
      </c>
      <c r="U136" s="229" t="s">
        <v>277</v>
      </c>
      <c r="AC136" s="229" t="s">
        <v>278</v>
      </c>
      <c r="AF136">
        <v>20241031</v>
      </c>
      <c r="AI136" s="233">
        <v>20241031</v>
      </c>
      <c r="AJ136">
        <v>8902015787</v>
      </c>
      <c r="AL136"/>
      <c r="AM136" s="230" t="s">
        <v>300</v>
      </c>
      <c r="AO136" s="234">
        <v>0</v>
      </c>
      <c r="AP136" s="232">
        <f t="shared" si="4"/>
        <v>1022800</v>
      </c>
      <c r="AQ136" s="230">
        <f t="shared" si="5"/>
        <v>10</v>
      </c>
    </row>
    <row r="137" spans="1:43" ht="13.8" customHeight="1">
      <c r="A137" s="228">
        <v>1</v>
      </c>
      <c r="B137" s="229" t="s">
        <v>273</v>
      </c>
      <c r="C137" s="230" t="s">
        <v>280</v>
      </c>
      <c r="D137" s="231">
        <v>45596</v>
      </c>
      <c r="E137" s="231">
        <v>45596</v>
      </c>
      <c r="F137" s="230" t="s">
        <v>281</v>
      </c>
      <c r="G137" s="228" t="s">
        <v>275</v>
      </c>
      <c r="I137" s="230">
        <v>87</v>
      </c>
      <c r="J137" s="228" t="s">
        <v>276</v>
      </c>
      <c r="K137" s="230">
        <v>1533010002</v>
      </c>
      <c r="T137" s="232">
        <v>757800</v>
      </c>
      <c r="U137" s="229" t="s">
        <v>277</v>
      </c>
      <c r="AC137" s="229" t="s">
        <v>278</v>
      </c>
      <c r="AF137">
        <v>20241031</v>
      </c>
      <c r="AI137" s="233">
        <v>20241031</v>
      </c>
      <c r="AJ137">
        <v>8902015787</v>
      </c>
      <c r="AL137"/>
      <c r="AM137" s="230" t="s">
        <v>300</v>
      </c>
      <c r="AO137" s="234">
        <v>0</v>
      </c>
      <c r="AP137" s="232">
        <f t="shared" si="4"/>
        <v>757800</v>
      </c>
      <c r="AQ137" s="230">
        <f t="shared" si="5"/>
        <v>10</v>
      </c>
    </row>
    <row r="138" spans="1:43" ht="13.8" customHeight="1">
      <c r="A138" s="228">
        <v>1</v>
      </c>
      <c r="B138" s="229" t="s">
        <v>273</v>
      </c>
      <c r="C138" s="230" t="s">
        <v>280</v>
      </c>
      <c r="D138" s="231">
        <v>45596</v>
      </c>
      <c r="E138" s="231">
        <v>45596</v>
      </c>
      <c r="F138" s="230" t="s">
        <v>281</v>
      </c>
      <c r="G138" s="228" t="s">
        <v>275</v>
      </c>
      <c r="I138" s="230">
        <v>88</v>
      </c>
      <c r="J138" s="228" t="s">
        <v>276</v>
      </c>
      <c r="K138" s="230">
        <v>1533010002</v>
      </c>
      <c r="T138" s="232">
        <v>2552892</v>
      </c>
      <c r="U138" s="229" t="s">
        <v>277</v>
      </c>
      <c r="AC138" s="229" t="s">
        <v>278</v>
      </c>
      <c r="AF138">
        <v>20241031</v>
      </c>
      <c r="AI138" s="233">
        <v>20241031</v>
      </c>
      <c r="AJ138">
        <v>8914800001</v>
      </c>
      <c r="AL138"/>
      <c r="AM138" s="230" t="s">
        <v>289</v>
      </c>
      <c r="AO138" s="234">
        <v>0</v>
      </c>
      <c r="AP138" s="232">
        <f t="shared" si="4"/>
        <v>2552892</v>
      </c>
      <c r="AQ138" s="230">
        <f t="shared" si="5"/>
        <v>10</v>
      </c>
    </row>
    <row r="139" spans="1:43" ht="13.8" customHeight="1">
      <c r="A139" s="228">
        <v>1</v>
      </c>
      <c r="B139" s="229" t="s">
        <v>273</v>
      </c>
      <c r="C139" s="230" t="s">
        <v>280</v>
      </c>
      <c r="D139" s="231">
        <v>45596</v>
      </c>
      <c r="E139" s="231">
        <v>45596</v>
      </c>
      <c r="F139" s="230" t="s">
        <v>281</v>
      </c>
      <c r="G139" s="228" t="s">
        <v>275</v>
      </c>
      <c r="I139" s="230">
        <v>89</v>
      </c>
      <c r="J139" s="228" t="s">
        <v>276</v>
      </c>
      <c r="K139" s="230">
        <v>1533010002</v>
      </c>
      <c r="T139" s="232">
        <v>1155958</v>
      </c>
      <c r="U139" s="229" t="s">
        <v>277</v>
      </c>
      <c r="AC139" s="229" t="s">
        <v>278</v>
      </c>
      <c r="AF139">
        <v>20241031</v>
      </c>
      <c r="AI139" s="233">
        <v>20241031</v>
      </c>
      <c r="AJ139">
        <v>8914800001</v>
      </c>
      <c r="AL139"/>
      <c r="AM139" s="230" t="s">
        <v>289</v>
      </c>
      <c r="AO139" s="234">
        <v>0</v>
      </c>
      <c r="AP139" s="232">
        <f t="shared" si="4"/>
        <v>1155958</v>
      </c>
      <c r="AQ139" s="230">
        <f t="shared" si="5"/>
        <v>10</v>
      </c>
    </row>
    <row r="140" spans="1:43" ht="13.8" customHeight="1">
      <c r="A140" s="228">
        <v>1</v>
      </c>
      <c r="B140" s="229" t="s">
        <v>273</v>
      </c>
      <c r="C140" s="230" t="s">
        <v>280</v>
      </c>
      <c r="D140" s="231">
        <v>45596</v>
      </c>
      <c r="E140" s="231">
        <v>45596</v>
      </c>
      <c r="F140" s="230" t="s">
        <v>281</v>
      </c>
      <c r="G140" s="228" t="s">
        <v>275</v>
      </c>
      <c r="I140" s="230">
        <v>90</v>
      </c>
      <c r="J140" s="228" t="s">
        <v>276</v>
      </c>
      <c r="K140" s="230">
        <v>1533010002</v>
      </c>
      <c r="T140" s="232">
        <v>220615</v>
      </c>
      <c r="U140" s="229" t="s">
        <v>277</v>
      </c>
      <c r="AC140" s="229" t="s">
        <v>278</v>
      </c>
      <c r="AF140">
        <v>20241031</v>
      </c>
      <c r="AI140" s="233">
        <v>20241031</v>
      </c>
      <c r="AJ140">
        <v>8914800001</v>
      </c>
      <c r="AL140"/>
      <c r="AM140" s="230" t="s">
        <v>289</v>
      </c>
      <c r="AO140" s="234">
        <v>0</v>
      </c>
      <c r="AP140" s="232">
        <f t="shared" si="4"/>
        <v>220615</v>
      </c>
      <c r="AQ140" s="230">
        <f t="shared" si="5"/>
        <v>10</v>
      </c>
    </row>
    <row r="141" spans="1:43" ht="13.8" customHeight="1">
      <c r="A141" s="228">
        <v>1</v>
      </c>
      <c r="B141" s="229" t="s">
        <v>273</v>
      </c>
      <c r="C141" s="230" t="s">
        <v>280</v>
      </c>
      <c r="D141" s="231">
        <v>45596</v>
      </c>
      <c r="E141" s="231">
        <v>45596</v>
      </c>
      <c r="F141" s="230" t="s">
        <v>281</v>
      </c>
      <c r="G141" s="228" t="s">
        <v>275</v>
      </c>
      <c r="I141" s="230">
        <v>91</v>
      </c>
      <c r="J141" s="228" t="s">
        <v>276</v>
      </c>
      <c r="K141" s="230">
        <v>1533010002</v>
      </c>
      <c r="T141" s="232">
        <v>580922</v>
      </c>
      <c r="U141" s="229" t="s">
        <v>277</v>
      </c>
      <c r="AC141" s="229" t="s">
        <v>278</v>
      </c>
      <c r="AF141">
        <v>20241031</v>
      </c>
      <c r="AI141" s="233">
        <v>20241031</v>
      </c>
      <c r="AJ141">
        <v>8914800001</v>
      </c>
      <c r="AL141"/>
      <c r="AM141" s="230" t="s">
        <v>289</v>
      </c>
      <c r="AO141" s="234">
        <v>0</v>
      </c>
      <c r="AP141" s="232">
        <f t="shared" si="4"/>
        <v>580922</v>
      </c>
      <c r="AQ141" s="230">
        <f t="shared" si="5"/>
        <v>10</v>
      </c>
    </row>
    <row r="142" spans="1:43" ht="13.8" customHeight="1">
      <c r="A142" s="228">
        <v>1</v>
      </c>
      <c r="B142" s="229" t="s">
        <v>273</v>
      </c>
      <c r="C142" s="230" t="s">
        <v>280</v>
      </c>
      <c r="D142" s="231">
        <v>45596</v>
      </c>
      <c r="E142" s="231">
        <v>45596</v>
      </c>
      <c r="F142" s="230" t="s">
        <v>281</v>
      </c>
      <c r="G142" s="228" t="s">
        <v>275</v>
      </c>
      <c r="I142" s="230">
        <v>92</v>
      </c>
      <c r="J142" s="228" t="s">
        <v>276</v>
      </c>
      <c r="K142" s="230">
        <v>1533010002</v>
      </c>
      <c r="T142" s="232">
        <v>1784405</v>
      </c>
      <c r="U142" s="229" t="s">
        <v>277</v>
      </c>
      <c r="AC142" s="229" t="s">
        <v>278</v>
      </c>
      <c r="AF142">
        <v>20241031</v>
      </c>
      <c r="AI142" s="233">
        <v>20241031</v>
      </c>
      <c r="AJ142">
        <v>8902015787</v>
      </c>
      <c r="AL142"/>
      <c r="AM142" s="230" t="s">
        <v>300</v>
      </c>
      <c r="AO142" s="234">
        <v>0</v>
      </c>
      <c r="AP142" s="232">
        <f t="shared" si="4"/>
        <v>1784405</v>
      </c>
      <c r="AQ142" s="230">
        <f t="shared" si="5"/>
        <v>10</v>
      </c>
    </row>
    <row r="143" spans="1:43" ht="13.8" customHeight="1">
      <c r="A143" s="228">
        <v>1</v>
      </c>
      <c r="B143" s="229" t="s">
        <v>273</v>
      </c>
      <c r="C143" s="230" t="s">
        <v>280</v>
      </c>
      <c r="D143" s="231">
        <v>45596</v>
      </c>
      <c r="E143" s="231">
        <v>45596</v>
      </c>
      <c r="F143" s="230" t="s">
        <v>281</v>
      </c>
      <c r="G143" s="228" t="s">
        <v>275</v>
      </c>
      <c r="I143" s="230">
        <v>93</v>
      </c>
      <c r="J143" s="228" t="s">
        <v>276</v>
      </c>
      <c r="K143" s="230">
        <v>1533010002</v>
      </c>
      <c r="T143" s="232">
        <v>3213002</v>
      </c>
      <c r="U143" s="229" t="s">
        <v>277</v>
      </c>
      <c r="AC143" s="229" t="s">
        <v>278</v>
      </c>
      <c r="AF143">
        <v>20241031</v>
      </c>
      <c r="AI143" s="233">
        <v>20241031</v>
      </c>
      <c r="AJ143">
        <v>8914800001</v>
      </c>
      <c r="AL143"/>
      <c r="AM143" s="230" t="s">
        <v>289</v>
      </c>
      <c r="AO143" s="234">
        <v>0</v>
      </c>
      <c r="AP143" s="232">
        <f t="shared" si="4"/>
        <v>3213002</v>
      </c>
      <c r="AQ143" s="230">
        <f t="shared" si="5"/>
        <v>10</v>
      </c>
    </row>
    <row r="144" spans="1:43" ht="13.8" customHeight="1">
      <c r="A144" s="228">
        <v>2</v>
      </c>
      <c r="B144" s="229" t="s">
        <v>273</v>
      </c>
      <c r="C144" s="230" t="s">
        <v>280</v>
      </c>
      <c r="D144" s="231">
        <v>45626</v>
      </c>
      <c r="E144" s="231">
        <v>45626</v>
      </c>
      <c r="F144" s="230" t="s">
        <v>280</v>
      </c>
      <c r="G144" s="228" t="s">
        <v>275</v>
      </c>
      <c r="I144" s="230">
        <v>30</v>
      </c>
      <c r="J144" s="228" t="s">
        <v>276</v>
      </c>
      <c r="K144" s="230">
        <v>1533010002</v>
      </c>
      <c r="T144" s="232">
        <v>-10672000</v>
      </c>
      <c r="U144" s="229" t="s">
        <v>277</v>
      </c>
      <c r="AC144" s="229" t="s">
        <v>278</v>
      </c>
      <c r="AF144">
        <v>20241130</v>
      </c>
      <c r="AI144" s="233">
        <v>20241130</v>
      </c>
      <c r="AJ144">
        <v>1019098648</v>
      </c>
      <c r="AL144"/>
      <c r="AM144" s="230" t="s">
        <v>304</v>
      </c>
      <c r="AO144" s="234">
        <v>0</v>
      </c>
      <c r="AP144" s="232">
        <f t="shared" si="4"/>
        <v>10672000</v>
      </c>
      <c r="AQ144" s="230">
        <f t="shared" si="5"/>
        <v>11</v>
      </c>
    </row>
    <row r="145" spans="1:43" ht="13.8" customHeight="1">
      <c r="A145" s="228">
        <v>2</v>
      </c>
      <c r="B145" s="229" t="s">
        <v>273</v>
      </c>
      <c r="C145" s="230" t="s">
        <v>280</v>
      </c>
      <c r="D145" s="231">
        <v>45626</v>
      </c>
      <c r="E145" s="231">
        <v>45626</v>
      </c>
      <c r="F145" s="230" t="s">
        <v>281</v>
      </c>
      <c r="G145" s="228" t="s">
        <v>275</v>
      </c>
      <c r="I145" s="230">
        <v>84</v>
      </c>
      <c r="J145" s="228" t="s">
        <v>276</v>
      </c>
      <c r="K145" s="230">
        <v>1533010002</v>
      </c>
      <c r="T145" s="232">
        <v>-10562770</v>
      </c>
      <c r="U145" s="229" t="s">
        <v>277</v>
      </c>
      <c r="AC145" s="229" t="s">
        <v>278</v>
      </c>
      <c r="AF145">
        <v>20241130</v>
      </c>
      <c r="AI145" s="233">
        <v>20241130</v>
      </c>
      <c r="AJ145">
        <v>8000887022</v>
      </c>
      <c r="AL145"/>
      <c r="AM145" s="230" t="s">
        <v>292</v>
      </c>
      <c r="AO145" s="234" t="s">
        <v>108</v>
      </c>
      <c r="AP145" s="232">
        <f t="shared" si="4"/>
        <v>10562770</v>
      </c>
      <c r="AQ145" s="230">
        <f t="shared" si="5"/>
        <v>11</v>
      </c>
    </row>
    <row r="146" spans="1:43" ht="13.8" customHeight="1">
      <c r="A146" s="228">
        <v>2</v>
      </c>
      <c r="B146" s="229" t="s">
        <v>273</v>
      </c>
      <c r="C146" s="230" t="s">
        <v>280</v>
      </c>
      <c r="D146" s="231">
        <v>45626</v>
      </c>
      <c r="E146" s="231">
        <v>45626</v>
      </c>
      <c r="F146" s="230" t="s">
        <v>281</v>
      </c>
      <c r="G146" s="228" t="s">
        <v>275</v>
      </c>
      <c r="I146" s="230">
        <v>85</v>
      </c>
      <c r="J146" s="228" t="s">
        <v>276</v>
      </c>
      <c r="K146" s="230">
        <v>1533010002</v>
      </c>
      <c r="T146" s="232">
        <v>-29356654</v>
      </c>
      <c r="U146" s="229" t="s">
        <v>277</v>
      </c>
      <c r="AC146" s="229" t="s">
        <v>278</v>
      </c>
      <c r="AF146">
        <v>20241130</v>
      </c>
      <c r="AI146" s="233">
        <v>20241130</v>
      </c>
      <c r="AJ146">
        <v>8001309074</v>
      </c>
      <c r="AL146"/>
      <c r="AM146" s="230" t="s">
        <v>305</v>
      </c>
      <c r="AO146" s="234">
        <v>0</v>
      </c>
      <c r="AP146" s="232">
        <f t="shared" si="4"/>
        <v>29356654</v>
      </c>
      <c r="AQ146" s="230">
        <f t="shared" si="5"/>
        <v>11</v>
      </c>
    </row>
    <row r="147" spans="1:43" ht="13.8" customHeight="1">
      <c r="A147" s="228">
        <v>2</v>
      </c>
      <c r="B147" s="229" t="s">
        <v>273</v>
      </c>
      <c r="C147" s="230" t="s">
        <v>280</v>
      </c>
      <c r="D147" s="231">
        <v>45626</v>
      </c>
      <c r="E147" s="231">
        <v>45626</v>
      </c>
      <c r="F147" s="230" t="s">
        <v>281</v>
      </c>
      <c r="G147" s="228" t="s">
        <v>275</v>
      </c>
      <c r="I147" s="230">
        <v>86</v>
      </c>
      <c r="J147" s="228" t="s">
        <v>276</v>
      </c>
      <c r="K147" s="230">
        <v>1533010002</v>
      </c>
      <c r="T147" s="232">
        <v>-43614915</v>
      </c>
      <c r="U147" s="229" t="s">
        <v>277</v>
      </c>
      <c r="AC147" s="229" t="s">
        <v>278</v>
      </c>
      <c r="AF147">
        <v>20241130</v>
      </c>
      <c r="AI147" s="233">
        <v>20241130</v>
      </c>
      <c r="AJ147">
        <v>8002514406</v>
      </c>
      <c r="AL147"/>
      <c r="AM147" s="230" t="s">
        <v>283</v>
      </c>
      <c r="AO147" s="234" t="s">
        <v>115</v>
      </c>
      <c r="AP147" s="232">
        <f t="shared" si="4"/>
        <v>43614915</v>
      </c>
      <c r="AQ147" s="230">
        <f t="shared" si="5"/>
        <v>11</v>
      </c>
    </row>
    <row r="148" spans="1:43" ht="13.8" customHeight="1">
      <c r="A148" s="228">
        <v>2</v>
      </c>
      <c r="B148" s="229" t="s">
        <v>273</v>
      </c>
      <c r="C148" s="230" t="s">
        <v>280</v>
      </c>
      <c r="D148" s="231">
        <v>45626</v>
      </c>
      <c r="E148" s="231">
        <v>45626</v>
      </c>
      <c r="F148" s="230" t="s">
        <v>281</v>
      </c>
      <c r="G148" s="228" t="s">
        <v>275</v>
      </c>
      <c r="I148" s="230">
        <v>87</v>
      </c>
      <c r="J148" s="228" t="s">
        <v>276</v>
      </c>
      <c r="K148" s="230">
        <v>1533010002</v>
      </c>
      <c r="T148" s="232">
        <v>-129999</v>
      </c>
      <c r="U148" s="229" t="s">
        <v>277</v>
      </c>
      <c r="AC148" s="229" t="s">
        <v>278</v>
      </c>
      <c r="AF148">
        <v>20241130</v>
      </c>
      <c r="AI148" s="233">
        <v>20241130</v>
      </c>
      <c r="AJ148">
        <v>8050011572</v>
      </c>
      <c r="AL148"/>
      <c r="AM148" s="230" t="s">
        <v>284</v>
      </c>
      <c r="AO148" s="234">
        <v>0</v>
      </c>
      <c r="AP148" s="232">
        <f t="shared" si="4"/>
        <v>129999</v>
      </c>
      <c r="AQ148" s="230">
        <f t="shared" si="5"/>
        <v>11</v>
      </c>
    </row>
    <row r="149" spans="1:43" ht="13.8" customHeight="1">
      <c r="A149" s="228">
        <v>2</v>
      </c>
      <c r="B149" s="229" t="s">
        <v>273</v>
      </c>
      <c r="C149" s="230" t="s">
        <v>280</v>
      </c>
      <c r="D149" s="231">
        <v>45626</v>
      </c>
      <c r="E149" s="231">
        <v>45626</v>
      </c>
      <c r="F149" s="230" t="s">
        <v>281</v>
      </c>
      <c r="G149" s="228" t="s">
        <v>275</v>
      </c>
      <c r="I149" s="230">
        <v>88</v>
      </c>
      <c r="J149" s="228" t="s">
        <v>276</v>
      </c>
      <c r="K149" s="230">
        <v>1533010002</v>
      </c>
      <c r="T149" s="232">
        <v>-650000</v>
      </c>
      <c r="U149" s="229" t="s">
        <v>277</v>
      </c>
      <c r="AC149" s="229" t="s">
        <v>278</v>
      </c>
      <c r="AF149">
        <v>20241130</v>
      </c>
      <c r="AI149" s="233">
        <v>20241130</v>
      </c>
      <c r="AJ149">
        <v>8060083947</v>
      </c>
      <c r="AL149"/>
      <c r="AM149" s="230" t="s">
        <v>293</v>
      </c>
      <c r="AO149" s="234">
        <v>0</v>
      </c>
      <c r="AP149" s="232">
        <f t="shared" si="4"/>
        <v>650000</v>
      </c>
      <c r="AQ149" s="230">
        <f t="shared" si="5"/>
        <v>11</v>
      </c>
    </row>
    <row r="150" spans="1:43" ht="13.8" customHeight="1">
      <c r="A150" s="228">
        <v>2</v>
      </c>
      <c r="B150" s="229" t="s">
        <v>273</v>
      </c>
      <c r="C150" s="230" t="s">
        <v>280</v>
      </c>
      <c r="D150" s="231">
        <v>45626</v>
      </c>
      <c r="E150" s="231">
        <v>45626</v>
      </c>
      <c r="F150" s="230" t="s">
        <v>281</v>
      </c>
      <c r="G150" s="228" t="s">
        <v>275</v>
      </c>
      <c r="I150" s="230">
        <v>89</v>
      </c>
      <c r="J150" s="228" t="s">
        <v>276</v>
      </c>
      <c r="K150" s="230">
        <v>1533010002</v>
      </c>
      <c r="T150" s="232">
        <v>-16660742</v>
      </c>
      <c r="U150" s="229" t="s">
        <v>277</v>
      </c>
      <c r="AC150" s="229" t="s">
        <v>278</v>
      </c>
      <c r="AF150">
        <v>20241130</v>
      </c>
      <c r="AI150" s="233">
        <v>20241130</v>
      </c>
      <c r="AJ150">
        <v>8300035647</v>
      </c>
      <c r="AL150"/>
      <c r="AM150" s="230" t="s">
        <v>286</v>
      </c>
      <c r="AO150" s="234" t="s">
        <v>109</v>
      </c>
      <c r="AP150" s="232">
        <f t="shared" si="4"/>
        <v>16660742</v>
      </c>
      <c r="AQ150" s="230">
        <f t="shared" si="5"/>
        <v>11</v>
      </c>
    </row>
    <row r="151" spans="1:43" ht="13.8" customHeight="1">
      <c r="A151" s="228">
        <v>2</v>
      </c>
      <c r="B151" s="229" t="s">
        <v>273</v>
      </c>
      <c r="C151" s="230" t="s">
        <v>280</v>
      </c>
      <c r="D151" s="231">
        <v>45626</v>
      </c>
      <c r="E151" s="231">
        <v>45626</v>
      </c>
      <c r="F151" s="230" t="s">
        <v>281</v>
      </c>
      <c r="G151" s="228" t="s">
        <v>275</v>
      </c>
      <c r="I151" s="230">
        <v>90</v>
      </c>
      <c r="J151" s="228" t="s">
        <v>276</v>
      </c>
      <c r="K151" s="230">
        <v>1533010002</v>
      </c>
      <c r="T151" s="232">
        <v>-10624295</v>
      </c>
      <c r="U151" s="229" t="s">
        <v>277</v>
      </c>
      <c r="AC151" s="229" t="s">
        <v>278</v>
      </c>
      <c r="AF151">
        <v>20241130</v>
      </c>
      <c r="AI151" s="233">
        <v>20241130</v>
      </c>
      <c r="AJ151">
        <v>8301138310</v>
      </c>
      <c r="AL151"/>
      <c r="AM151" s="230" t="s">
        <v>287</v>
      </c>
      <c r="AO151" s="234">
        <v>0</v>
      </c>
      <c r="AP151" s="232">
        <f t="shared" si="4"/>
        <v>10624295</v>
      </c>
      <c r="AQ151" s="230">
        <f t="shared" si="5"/>
        <v>11</v>
      </c>
    </row>
    <row r="152" spans="1:43" ht="13.8" customHeight="1">
      <c r="A152" s="228">
        <v>2</v>
      </c>
      <c r="B152" s="229" t="s">
        <v>273</v>
      </c>
      <c r="C152" s="230" t="s">
        <v>280</v>
      </c>
      <c r="D152" s="231">
        <v>45626</v>
      </c>
      <c r="E152" s="231">
        <v>45626</v>
      </c>
      <c r="F152" s="230" t="s">
        <v>281</v>
      </c>
      <c r="G152" s="228" t="s">
        <v>275</v>
      </c>
      <c r="I152" s="230">
        <v>91</v>
      </c>
      <c r="J152" s="228" t="s">
        <v>276</v>
      </c>
      <c r="K152" s="230">
        <v>1533010002</v>
      </c>
      <c r="T152" s="232">
        <v>-30462938</v>
      </c>
      <c r="U152" s="229" t="s">
        <v>277</v>
      </c>
      <c r="AC152" s="229" t="s">
        <v>278</v>
      </c>
      <c r="AF152">
        <v>20241130</v>
      </c>
      <c r="AI152" s="233">
        <v>20241130</v>
      </c>
      <c r="AJ152">
        <v>8600021839</v>
      </c>
      <c r="AL152"/>
      <c r="AM152" s="230" t="s">
        <v>288</v>
      </c>
      <c r="AO152" s="234">
        <v>0</v>
      </c>
      <c r="AP152" s="232">
        <f t="shared" si="4"/>
        <v>30462938</v>
      </c>
      <c r="AQ152" s="230">
        <f t="shared" si="5"/>
        <v>11</v>
      </c>
    </row>
    <row r="153" spans="1:43" ht="13.8" customHeight="1">
      <c r="A153" s="228">
        <v>2</v>
      </c>
      <c r="B153" s="229" t="s">
        <v>273</v>
      </c>
      <c r="C153" s="230" t="s">
        <v>280</v>
      </c>
      <c r="D153" s="231">
        <v>45626</v>
      </c>
      <c r="E153" s="231">
        <v>45626</v>
      </c>
      <c r="F153" s="230" t="s">
        <v>281</v>
      </c>
      <c r="G153" s="228" t="s">
        <v>275</v>
      </c>
      <c r="I153" s="230">
        <v>92</v>
      </c>
      <c r="J153" s="228" t="s">
        <v>276</v>
      </c>
      <c r="K153" s="230">
        <v>1533010002</v>
      </c>
      <c r="T153" s="232">
        <v>-31128212</v>
      </c>
      <c r="U153" s="229" t="s">
        <v>277</v>
      </c>
      <c r="AC153" s="229" t="s">
        <v>278</v>
      </c>
      <c r="AF153">
        <v>20241130</v>
      </c>
      <c r="AI153" s="233">
        <v>20241130</v>
      </c>
      <c r="AJ153">
        <v>8600669427</v>
      </c>
      <c r="AL153"/>
      <c r="AM153" s="230" t="s">
        <v>289</v>
      </c>
      <c r="AO153" s="234" t="s">
        <v>101</v>
      </c>
      <c r="AP153" s="232">
        <f t="shared" si="4"/>
        <v>31128212</v>
      </c>
      <c r="AQ153" s="230">
        <f t="shared" si="5"/>
        <v>11</v>
      </c>
    </row>
    <row r="154" spans="1:43" ht="13.8" customHeight="1">
      <c r="A154" s="228">
        <v>2</v>
      </c>
      <c r="B154" s="229" t="s">
        <v>273</v>
      </c>
      <c r="C154" s="230" t="s">
        <v>280</v>
      </c>
      <c r="D154" s="231">
        <v>45626</v>
      </c>
      <c r="E154" s="231">
        <v>45626</v>
      </c>
      <c r="F154" s="230" t="s">
        <v>281</v>
      </c>
      <c r="G154" s="228" t="s">
        <v>275</v>
      </c>
      <c r="I154" s="230">
        <v>93</v>
      </c>
      <c r="J154" s="228" t="s">
        <v>276</v>
      </c>
      <c r="K154" s="230">
        <v>1533010002</v>
      </c>
      <c r="T154" s="232">
        <v>-11832355</v>
      </c>
      <c r="U154" s="229" t="s">
        <v>277</v>
      </c>
      <c r="AC154" s="229" t="s">
        <v>278</v>
      </c>
      <c r="AF154">
        <v>20241130</v>
      </c>
      <c r="AI154" s="233">
        <v>20241130</v>
      </c>
      <c r="AJ154">
        <v>9001562642</v>
      </c>
      <c r="AL154"/>
      <c r="AM154" s="230" t="s">
        <v>290</v>
      </c>
      <c r="AO154" s="234" t="s">
        <v>111</v>
      </c>
      <c r="AP154" s="232">
        <f t="shared" si="4"/>
        <v>11832355</v>
      </c>
      <c r="AQ154" s="230">
        <f t="shared" si="5"/>
        <v>11</v>
      </c>
    </row>
    <row r="155" spans="1:43" ht="13.8" customHeight="1">
      <c r="A155" s="228">
        <v>2</v>
      </c>
      <c r="B155" s="229" t="s">
        <v>273</v>
      </c>
      <c r="C155" s="230" t="s">
        <v>280</v>
      </c>
      <c r="D155" s="231">
        <v>45626</v>
      </c>
      <c r="E155" s="231">
        <v>45626</v>
      </c>
      <c r="F155" s="230" t="s">
        <v>281</v>
      </c>
      <c r="G155" s="228" t="s">
        <v>275</v>
      </c>
      <c r="I155" s="230">
        <v>94</v>
      </c>
      <c r="J155" s="228" t="s">
        <v>276</v>
      </c>
      <c r="K155" s="230">
        <v>1533010002</v>
      </c>
      <c r="T155" s="232">
        <v>-43334</v>
      </c>
      <c r="U155" s="229" t="s">
        <v>277</v>
      </c>
      <c r="AC155" s="229" t="s">
        <v>278</v>
      </c>
      <c r="AF155">
        <v>20241130</v>
      </c>
      <c r="AI155" s="233">
        <v>20241130</v>
      </c>
      <c r="AJ155">
        <v>9006043500</v>
      </c>
      <c r="AL155"/>
      <c r="AM155" s="230" t="s">
        <v>295</v>
      </c>
      <c r="AO155" s="234">
        <v>0</v>
      </c>
      <c r="AP155" s="232">
        <f t="shared" si="4"/>
        <v>43334</v>
      </c>
      <c r="AQ155" s="230">
        <f t="shared" si="5"/>
        <v>11</v>
      </c>
    </row>
    <row r="156" spans="1:43" ht="13.8" customHeight="1">
      <c r="A156" s="228">
        <v>2</v>
      </c>
      <c r="B156" s="229" t="s">
        <v>273</v>
      </c>
      <c r="C156" s="230" t="s">
        <v>280</v>
      </c>
      <c r="D156" s="231">
        <v>45626</v>
      </c>
      <c r="E156" s="231">
        <v>45626</v>
      </c>
      <c r="F156" s="230" t="s">
        <v>281</v>
      </c>
      <c r="G156" s="228" t="s">
        <v>275</v>
      </c>
      <c r="I156" s="230">
        <v>95</v>
      </c>
      <c r="J156" s="228" t="s">
        <v>276</v>
      </c>
      <c r="K156" s="230">
        <v>1533010002</v>
      </c>
      <c r="T156" s="232">
        <v>-4562667</v>
      </c>
      <c r="U156" s="229" t="s">
        <v>277</v>
      </c>
      <c r="AC156" s="229" t="s">
        <v>278</v>
      </c>
      <c r="AF156">
        <v>20241130</v>
      </c>
      <c r="AI156" s="233">
        <v>20241130</v>
      </c>
      <c r="AJ156">
        <v>9010379161</v>
      </c>
      <c r="AL156"/>
      <c r="AM156" s="230" t="s">
        <v>306</v>
      </c>
      <c r="AO156" s="234">
        <v>0</v>
      </c>
      <c r="AP156" s="232">
        <f t="shared" si="4"/>
        <v>4562667</v>
      </c>
      <c r="AQ156" s="230">
        <f t="shared" si="5"/>
        <v>11</v>
      </c>
    </row>
    <row r="157" spans="1:43" ht="13.8" customHeight="1">
      <c r="A157" s="228">
        <v>2</v>
      </c>
      <c r="B157" s="229" t="s">
        <v>273</v>
      </c>
      <c r="C157" s="230" t="s">
        <v>280</v>
      </c>
      <c r="D157" s="231">
        <v>45626</v>
      </c>
      <c r="E157" s="231">
        <v>45626</v>
      </c>
      <c r="F157" s="230" t="s">
        <v>281</v>
      </c>
      <c r="G157" s="228" t="s">
        <v>275</v>
      </c>
      <c r="I157" s="230">
        <v>97</v>
      </c>
      <c r="J157" s="228" t="s">
        <v>276</v>
      </c>
      <c r="K157" s="230">
        <v>1533010002</v>
      </c>
      <c r="T157" s="232">
        <v>-1861507</v>
      </c>
      <c r="U157" s="229" t="s">
        <v>277</v>
      </c>
      <c r="AC157" s="229" t="s">
        <v>278</v>
      </c>
      <c r="AF157">
        <v>20241130</v>
      </c>
      <c r="AI157" s="233">
        <v>20241130</v>
      </c>
      <c r="AJ157">
        <v>9001562642</v>
      </c>
      <c r="AL157"/>
      <c r="AM157" s="230" t="s">
        <v>307</v>
      </c>
      <c r="AO157" s="234" t="s">
        <v>111</v>
      </c>
      <c r="AP157" s="232">
        <f t="shared" si="4"/>
        <v>1861507</v>
      </c>
      <c r="AQ157" s="230">
        <f t="shared" si="5"/>
        <v>11</v>
      </c>
    </row>
    <row r="158" spans="1:43" ht="13.8" customHeight="1">
      <c r="A158" s="228">
        <v>2</v>
      </c>
      <c r="B158" s="229" t="s">
        <v>273</v>
      </c>
      <c r="C158" s="230" t="s">
        <v>280</v>
      </c>
      <c r="D158" s="231">
        <v>45626</v>
      </c>
      <c r="E158" s="231">
        <v>45626</v>
      </c>
      <c r="F158" s="230" t="s">
        <v>281</v>
      </c>
      <c r="G158" s="228" t="s">
        <v>275</v>
      </c>
      <c r="I158" s="230">
        <v>99</v>
      </c>
      <c r="J158" s="228" t="s">
        <v>276</v>
      </c>
      <c r="K158" s="230">
        <v>1533010002</v>
      </c>
      <c r="T158" s="232">
        <v>-587052</v>
      </c>
      <c r="U158" s="229" t="s">
        <v>277</v>
      </c>
      <c r="AC158" s="229" t="s">
        <v>278</v>
      </c>
      <c r="AF158">
        <v>20241130</v>
      </c>
      <c r="AI158" s="233">
        <v>20241130</v>
      </c>
      <c r="AJ158">
        <v>8909049961</v>
      </c>
      <c r="AL158"/>
      <c r="AM158" s="230" t="s">
        <v>302</v>
      </c>
      <c r="AO158" s="234">
        <v>0</v>
      </c>
      <c r="AP158" s="232">
        <f t="shared" si="4"/>
        <v>587052</v>
      </c>
      <c r="AQ158" s="230">
        <f t="shared" si="5"/>
        <v>11</v>
      </c>
    </row>
    <row r="159" spans="1:43" ht="13.8" customHeight="1">
      <c r="A159" s="228">
        <v>3</v>
      </c>
      <c r="B159" s="229" t="s">
        <v>273</v>
      </c>
      <c r="C159" s="230" t="s">
        <v>308</v>
      </c>
      <c r="D159" s="231">
        <v>45626</v>
      </c>
      <c r="E159" s="231">
        <v>45626</v>
      </c>
      <c r="F159" s="230" t="s">
        <v>308</v>
      </c>
      <c r="G159" s="228" t="s">
        <v>275</v>
      </c>
      <c r="I159" s="230">
        <v>129</v>
      </c>
      <c r="J159" s="228" t="s">
        <v>276</v>
      </c>
      <c r="K159" s="230">
        <v>1533010002</v>
      </c>
      <c r="T159" s="232">
        <v>-49896189</v>
      </c>
      <c r="U159" s="229" t="s">
        <v>277</v>
      </c>
      <c r="AC159" s="229" t="s">
        <v>278</v>
      </c>
      <c r="AF159">
        <v>20241130</v>
      </c>
      <c r="AI159" s="233">
        <v>20241130</v>
      </c>
      <c r="AJ159">
        <v>8002421062</v>
      </c>
      <c r="AL159"/>
      <c r="AM159" s="230" t="s">
        <v>309</v>
      </c>
      <c r="AO159" s="234">
        <v>0</v>
      </c>
      <c r="AP159" s="232">
        <f t="shared" si="4"/>
        <v>49896189</v>
      </c>
      <c r="AQ159" s="230">
        <f t="shared" si="5"/>
        <v>11</v>
      </c>
    </row>
    <row r="160" spans="1:43" ht="13.8" customHeight="1">
      <c r="A160" s="228">
        <v>1</v>
      </c>
      <c r="B160" s="229" t="s">
        <v>273</v>
      </c>
      <c r="C160" s="230" t="s">
        <v>280</v>
      </c>
      <c r="D160" s="231">
        <v>45657</v>
      </c>
      <c r="E160" s="231">
        <v>45657</v>
      </c>
      <c r="F160" s="230" t="s">
        <v>281</v>
      </c>
      <c r="G160" s="228" t="s">
        <v>275</v>
      </c>
      <c r="I160" s="230">
        <v>49</v>
      </c>
      <c r="J160" s="228" t="s">
        <v>276</v>
      </c>
      <c r="K160" s="230">
        <v>1533010002</v>
      </c>
      <c r="T160" s="232">
        <v>-66542579</v>
      </c>
      <c r="U160" s="229" t="s">
        <v>277</v>
      </c>
      <c r="AC160" s="229" t="s">
        <v>278</v>
      </c>
      <c r="AF160">
        <v>20241231</v>
      </c>
      <c r="AI160" s="233">
        <v>20241231</v>
      </c>
      <c r="AJ160">
        <v>8000887022</v>
      </c>
      <c r="AL160"/>
      <c r="AM160" s="230" t="s">
        <v>292</v>
      </c>
      <c r="AO160" s="234" t="s">
        <v>108</v>
      </c>
      <c r="AP160" s="232">
        <f t="shared" si="4"/>
        <v>66542579</v>
      </c>
      <c r="AQ160" s="230">
        <f t="shared" si="5"/>
        <v>12</v>
      </c>
    </row>
    <row r="161" spans="1:43" ht="13.8" customHeight="1">
      <c r="A161" s="228">
        <v>1</v>
      </c>
      <c r="B161" s="229" t="s">
        <v>273</v>
      </c>
      <c r="C161" s="230" t="s">
        <v>280</v>
      </c>
      <c r="D161" s="231">
        <v>45657</v>
      </c>
      <c r="E161" s="231">
        <v>45657</v>
      </c>
      <c r="F161" s="230" t="s">
        <v>281</v>
      </c>
      <c r="G161" s="228" t="s">
        <v>275</v>
      </c>
      <c r="I161" s="230">
        <v>50</v>
      </c>
      <c r="J161" s="228" t="s">
        <v>276</v>
      </c>
      <c r="K161" s="230">
        <v>1533010002</v>
      </c>
      <c r="T161" s="232">
        <v>-6465658</v>
      </c>
      <c r="U161" s="229" t="s">
        <v>277</v>
      </c>
      <c r="AC161" s="229" t="s">
        <v>278</v>
      </c>
      <c r="AF161">
        <v>20241231</v>
      </c>
      <c r="AI161" s="233">
        <v>20241231</v>
      </c>
      <c r="AJ161">
        <v>8001309074</v>
      </c>
      <c r="AL161"/>
      <c r="AM161" s="230" t="s">
        <v>305</v>
      </c>
      <c r="AO161" s="234">
        <v>0</v>
      </c>
      <c r="AP161" s="232">
        <f t="shared" si="4"/>
        <v>6465658</v>
      </c>
      <c r="AQ161" s="230">
        <f t="shared" si="5"/>
        <v>12</v>
      </c>
    </row>
    <row r="162" spans="1:43" ht="13.8" customHeight="1">
      <c r="A162" s="228">
        <v>1</v>
      </c>
      <c r="B162" s="229" t="s">
        <v>273</v>
      </c>
      <c r="C162" s="230" t="s">
        <v>280</v>
      </c>
      <c r="D162" s="231">
        <v>45657</v>
      </c>
      <c r="E162" s="231">
        <v>45657</v>
      </c>
      <c r="F162" s="230" t="s">
        <v>281</v>
      </c>
      <c r="G162" s="228" t="s">
        <v>275</v>
      </c>
      <c r="I162" s="230">
        <v>51</v>
      </c>
      <c r="J162" s="228" t="s">
        <v>276</v>
      </c>
      <c r="K162" s="230">
        <v>1533010002</v>
      </c>
      <c r="T162" s="232">
        <v>-41028908</v>
      </c>
      <c r="U162" s="229" t="s">
        <v>277</v>
      </c>
      <c r="AC162" s="229" t="s">
        <v>278</v>
      </c>
      <c r="AF162">
        <v>20241231</v>
      </c>
      <c r="AI162" s="233">
        <v>20241231</v>
      </c>
      <c r="AJ162">
        <v>8002514406</v>
      </c>
      <c r="AL162"/>
      <c r="AM162" s="230" t="s">
        <v>283</v>
      </c>
      <c r="AO162" s="234" t="s">
        <v>115</v>
      </c>
      <c r="AP162" s="232">
        <f t="shared" si="4"/>
        <v>41028908</v>
      </c>
      <c r="AQ162" s="230">
        <f t="shared" si="5"/>
        <v>12</v>
      </c>
    </row>
    <row r="163" spans="1:43" ht="13.8" customHeight="1">
      <c r="A163" s="228">
        <v>1</v>
      </c>
      <c r="B163" s="229" t="s">
        <v>273</v>
      </c>
      <c r="C163" s="230" t="s">
        <v>280</v>
      </c>
      <c r="D163" s="231">
        <v>45657</v>
      </c>
      <c r="E163" s="231">
        <v>45657</v>
      </c>
      <c r="F163" s="230" t="s">
        <v>281</v>
      </c>
      <c r="G163" s="228" t="s">
        <v>275</v>
      </c>
      <c r="I163" s="230">
        <v>52</v>
      </c>
      <c r="J163" s="228" t="s">
        <v>276</v>
      </c>
      <c r="K163" s="230">
        <v>1533010002</v>
      </c>
      <c r="T163" s="232">
        <v>-346672</v>
      </c>
      <c r="U163" s="229" t="s">
        <v>277</v>
      </c>
      <c r="AC163" s="229" t="s">
        <v>278</v>
      </c>
      <c r="AF163">
        <v>20241231</v>
      </c>
      <c r="AI163" s="233">
        <v>20241231</v>
      </c>
      <c r="AJ163">
        <v>8140003371</v>
      </c>
      <c r="AL163"/>
      <c r="AM163" s="230" t="s">
        <v>285</v>
      </c>
      <c r="AO163" s="234" t="s">
        <v>82</v>
      </c>
      <c r="AP163" s="232">
        <f t="shared" si="4"/>
        <v>346672</v>
      </c>
      <c r="AQ163" s="230">
        <f t="shared" si="5"/>
        <v>12</v>
      </c>
    </row>
    <row r="164" spans="1:43" ht="13.8" customHeight="1">
      <c r="A164" s="228">
        <v>1</v>
      </c>
      <c r="B164" s="229" t="s">
        <v>273</v>
      </c>
      <c r="C164" s="230" t="s">
        <v>280</v>
      </c>
      <c r="D164" s="231">
        <v>45657</v>
      </c>
      <c r="E164" s="231">
        <v>45657</v>
      </c>
      <c r="F164" s="230" t="s">
        <v>281</v>
      </c>
      <c r="G164" s="228" t="s">
        <v>275</v>
      </c>
      <c r="I164" s="230">
        <v>53</v>
      </c>
      <c r="J164" s="228" t="s">
        <v>276</v>
      </c>
      <c r="K164" s="230">
        <v>1533010002</v>
      </c>
      <c r="T164" s="232">
        <v>-10080918</v>
      </c>
      <c r="U164" s="229" t="s">
        <v>277</v>
      </c>
      <c r="AC164" s="229" t="s">
        <v>278</v>
      </c>
      <c r="AF164">
        <v>20241231</v>
      </c>
      <c r="AI164" s="233">
        <v>20241231</v>
      </c>
      <c r="AJ164">
        <v>8300035647</v>
      </c>
      <c r="AL164"/>
      <c r="AM164" s="230" t="s">
        <v>286</v>
      </c>
      <c r="AO164" s="234" t="s">
        <v>109</v>
      </c>
      <c r="AP164" s="232">
        <f t="shared" si="4"/>
        <v>10080918</v>
      </c>
      <c r="AQ164" s="230">
        <f t="shared" si="5"/>
        <v>12</v>
      </c>
    </row>
    <row r="165" spans="1:43" ht="13.8" customHeight="1">
      <c r="A165" s="228">
        <v>1</v>
      </c>
      <c r="B165" s="229" t="s">
        <v>273</v>
      </c>
      <c r="C165" s="230" t="s">
        <v>280</v>
      </c>
      <c r="D165" s="231">
        <v>45657</v>
      </c>
      <c r="E165" s="231">
        <v>45657</v>
      </c>
      <c r="F165" s="230" t="s">
        <v>281</v>
      </c>
      <c r="G165" s="228" t="s">
        <v>275</v>
      </c>
      <c r="I165" s="230">
        <v>54</v>
      </c>
      <c r="J165" s="228" t="s">
        <v>276</v>
      </c>
      <c r="K165" s="230">
        <v>1533010002</v>
      </c>
      <c r="T165" s="232">
        <v>-2065703</v>
      </c>
      <c r="U165" s="229" t="s">
        <v>277</v>
      </c>
      <c r="AC165" s="229" t="s">
        <v>278</v>
      </c>
      <c r="AF165">
        <v>20241231</v>
      </c>
      <c r="AI165" s="233">
        <v>20241231</v>
      </c>
      <c r="AJ165">
        <v>8301138310</v>
      </c>
      <c r="AL165"/>
      <c r="AM165" s="230" t="s">
        <v>287</v>
      </c>
      <c r="AO165" s="234">
        <v>0</v>
      </c>
      <c r="AP165" s="232">
        <f t="shared" si="4"/>
        <v>2065703</v>
      </c>
      <c r="AQ165" s="230">
        <f t="shared" si="5"/>
        <v>12</v>
      </c>
    </row>
    <row r="166" spans="1:43" ht="13.8" customHeight="1">
      <c r="A166" s="228">
        <v>1</v>
      </c>
      <c r="B166" s="229" t="s">
        <v>273</v>
      </c>
      <c r="C166" s="230" t="s">
        <v>280</v>
      </c>
      <c r="D166" s="231">
        <v>45657</v>
      </c>
      <c r="E166" s="231">
        <v>45657</v>
      </c>
      <c r="F166" s="230" t="s">
        <v>281</v>
      </c>
      <c r="G166" s="228" t="s">
        <v>275</v>
      </c>
      <c r="I166" s="230">
        <v>55</v>
      </c>
      <c r="J166" s="228" t="s">
        <v>276</v>
      </c>
      <c r="K166" s="230">
        <v>1533010002</v>
      </c>
      <c r="T166" s="232">
        <v>-20978790</v>
      </c>
      <c r="U166" s="229" t="s">
        <v>277</v>
      </c>
      <c r="AC166" s="229" t="s">
        <v>278</v>
      </c>
      <c r="AF166">
        <v>20241231</v>
      </c>
      <c r="AI166" s="233">
        <v>20241231</v>
      </c>
      <c r="AJ166">
        <v>8600021839</v>
      </c>
      <c r="AL166"/>
      <c r="AM166" s="230" t="s">
        <v>288</v>
      </c>
      <c r="AO166" s="234">
        <v>0</v>
      </c>
      <c r="AP166" s="232">
        <f t="shared" si="4"/>
        <v>20978790</v>
      </c>
      <c r="AQ166" s="230">
        <f t="shared" si="5"/>
        <v>12</v>
      </c>
    </row>
    <row r="167" spans="1:43" ht="13.8" customHeight="1">
      <c r="A167" s="228">
        <v>1</v>
      </c>
      <c r="B167" s="229" t="s">
        <v>273</v>
      </c>
      <c r="C167" s="230" t="s">
        <v>280</v>
      </c>
      <c r="D167" s="231">
        <v>45657</v>
      </c>
      <c r="E167" s="231">
        <v>45657</v>
      </c>
      <c r="F167" s="230" t="s">
        <v>281</v>
      </c>
      <c r="G167" s="228" t="s">
        <v>275</v>
      </c>
      <c r="I167" s="230">
        <v>56</v>
      </c>
      <c r="J167" s="228" t="s">
        <v>276</v>
      </c>
      <c r="K167" s="230">
        <v>1533010002</v>
      </c>
      <c r="T167" s="232">
        <v>-16535802</v>
      </c>
      <c r="U167" s="229" t="s">
        <v>277</v>
      </c>
      <c r="AC167" s="229" t="s">
        <v>278</v>
      </c>
      <c r="AF167">
        <v>20241231</v>
      </c>
      <c r="AI167" s="233">
        <v>20241231</v>
      </c>
      <c r="AJ167">
        <v>9001562642</v>
      </c>
      <c r="AL167"/>
      <c r="AM167" s="230" t="s">
        <v>290</v>
      </c>
      <c r="AO167" s="234" t="s">
        <v>111</v>
      </c>
      <c r="AP167" s="232">
        <f t="shared" si="4"/>
        <v>16535802</v>
      </c>
      <c r="AQ167" s="230">
        <f t="shared" si="5"/>
        <v>12</v>
      </c>
    </row>
    <row r="168" spans="1:43" ht="13.8" customHeight="1">
      <c r="A168" s="228">
        <v>1</v>
      </c>
      <c r="B168" s="229" t="s">
        <v>273</v>
      </c>
      <c r="C168" s="230" t="s">
        <v>280</v>
      </c>
      <c r="D168" s="231">
        <v>45657</v>
      </c>
      <c r="E168" s="231">
        <v>45657</v>
      </c>
      <c r="F168" s="230" t="s">
        <v>281</v>
      </c>
      <c r="G168" s="228" t="s">
        <v>275</v>
      </c>
      <c r="I168" s="230">
        <v>57</v>
      </c>
      <c r="J168" s="228" t="s">
        <v>276</v>
      </c>
      <c r="K168" s="230">
        <v>1533010002</v>
      </c>
      <c r="T168" s="232">
        <v>-303338</v>
      </c>
      <c r="U168" s="229" t="s">
        <v>277</v>
      </c>
      <c r="AC168" s="229" t="s">
        <v>278</v>
      </c>
      <c r="AF168">
        <v>20241231</v>
      </c>
      <c r="AI168" s="233">
        <v>20241231</v>
      </c>
      <c r="AJ168">
        <v>9006043500</v>
      </c>
      <c r="AL168"/>
      <c r="AM168" s="230" t="s">
        <v>295</v>
      </c>
      <c r="AO168" s="234">
        <v>0</v>
      </c>
      <c r="AP168" s="232">
        <f t="shared" si="4"/>
        <v>303338</v>
      </c>
      <c r="AQ168" s="230">
        <f t="shared" si="5"/>
        <v>12</v>
      </c>
    </row>
    <row r="169" spans="1:43" ht="13.8" customHeight="1">
      <c r="A169" s="228">
        <v>1</v>
      </c>
      <c r="B169" s="229" t="s">
        <v>273</v>
      </c>
      <c r="C169" s="230" t="s">
        <v>280</v>
      </c>
      <c r="D169" s="231">
        <v>45657</v>
      </c>
      <c r="E169" s="231">
        <v>45657</v>
      </c>
      <c r="F169" s="230" t="s">
        <v>281</v>
      </c>
      <c r="G169" s="228" t="s">
        <v>275</v>
      </c>
      <c r="I169" s="230">
        <v>59</v>
      </c>
      <c r="J169" s="228" t="s">
        <v>276</v>
      </c>
      <c r="K169" s="230">
        <v>1533010002</v>
      </c>
      <c r="T169" s="232">
        <v>-3573000</v>
      </c>
      <c r="U169" s="229" t="s">
        <v>277</v>
      </c>
      <c r="AC169" s="229" t="s">
        <v>278</v>
      </c>
      <c r="AF169">
        <v>20241231</v>
      </c>
      <c r="AI169" s="233">
        <v>20241231</v>
      </c>
      <c r="AJ169">
        <v>1019098648</v>
      </c>
      <c r="AL169"/>
      <c r="AM169" s="230" t="s">
        <v>304</v>
      </c>
      <c r="AO169" s="234">
        <v>0</v>
      </c>
      <c r="AP169" s="232">
        <f t="shared" si="4"/>
        <v>3573000</v>
      </c>
      <c r="AQ169" s="230">
        <f t="shared" si="5"/>
        <v>12</v>
      </c>
    </row>
    <row r="170" spans="1:43" ht="13.8" customHeight="1">
      <c r="A170" s="228">
        <v>1</v>
      </c>
      <c r="B170" s="229" t="s">
        <v>273</v>
      </c>
      <c r="C170" s="230" t="s">
        <v>280</v>
      </c>
      <c r="D170" s="231">
        <v>45657</v>
      </c>
      <c r="E170" s="231">
        <v>45657</v>
      </c>
      <c r="F170" s="230" t="s">
        <v>281</v>
      </c>
      <c r="G170" s="228" t="s">
        <v>275</v>
      </c>
      <c r="I170" s="230">
        <v>63</v>
      </c>
      <c r="J170" s="228" t="s">
        <v>276</v>
      </c>
      <c r="K170" s="230">
        <v>1533010002</v>
      </c>
      <c r="T170" s="232">
        <v>-2114491</v>
      </c>
      <c r="U170" s="229" t="s">
        <v>277</v>
      </c>
      <c r="AC170" s="229" t="s">
        <v>278</v>
      </c>
      <c r="AF170">
        <v>20241231</v>
      </c>
      <c r="AI170" s="233">
        <v>20241231</v>
      </c>
      <c r="AJ170">
        <v>8002514406</v>
      </c>
      <c r="AL170"/>
      <c r="AM170" s="230" t="s">
        <v>283</v>
      </c>
      <c r="AO170" s="234" t="s">
        <v>115</v>
      </c>
      <c r="AP170" s="232">
        <f t="shared" si="4"/>
        <v>2114491</v>
      </c>
      <c r="AQ170" s="230">
        <f t="shared" si="5"/>
        <v>12</v>
      </c>
    </row>
    <row r="171" spans="1:43" ht="13.8" customHeight="1">
      <c r="A171" s="228">
        <v>1</v>
      </c>
      <c r="B171" s="229" t="s">
        <v>273</v>
      </c>
      <c r="C171" s="230" t="s">
        <v>280</v>
      </c>
      <c r="D171" s="231">
        <v>45657</v>
      </c>
      <c r="E171" s="231">
        <v>45657</v>
      </c>
      <c r="F171" s="230" t="s">
        <v>281</v>
      </c>
      <c r="G171" s="228" t="s">
        <v>275</v>
      </c>
      <c r="I171" s="230">
        <v>64</v>
      </c>
      <c r="J171" s="228" t="s">
        <v>276</v>
      </c>
      <c r="K171" s="230">
        <v>1533010002</v>
      </c>
      <c r="T171" s="232">
        <v>-4997209</v>
      </c>
      <c r="U171" s="229" t="s">
        <v>277</v>
      </c>
      <c r="AC171" s="229" t="s">
        <v>278</v>
      </c>
      <c r="AF171">
        <v>20241231</v>
      </c>
      <c r="AI171" s="233">
        <v>20241231</v>
      </c>
      <c r="AJ171">
        <v>9001562642</v>
      </c>
      <c r="AL171"/>
      <c r="AM171" s="230" t="s">
        <v>290</v>
      </c>
      <c r="AO171" s="234" t="s">
        <v>111</v>
      </c>
      <c r="AP171" s="232">
        <f t="shared" si="4"/>
        <v>4997209</v>
      </c>
      <c r="AQ171" s="230">
        <f t="shared" si="5"/>
        <v>12</v>
      </c>
    </row>
    <row r="172" spans="1:43" ht="13.8" customHeight="1">
      <c r="A172" s="228">
        <v>1</v>
      </c>
      <c r="B172" s="229" t="s">
        <v>273</v>
      </c>
      <c r="C172" s="230" t="s">
        <v>280</v>
      </c>
      <c r="D172" s="231">
        <v>45657</v>
      </c>
      <c r="E172" s="231">
        <v>45657</v>
      </c>
      <c r="F172" s="230" t="s">
        <v>281</v>
      </c>
      <c r="G172" s="228" t="s">
        <v>275</v>
      </c>
      <c r="I172" s="230">
        <v>65</v>
      </c>
      <c r="J172" s="228" t="s">
        <v>276</v>
      </c>
      <c r="K172" s="230">
        <v>1533010002</v>
      </c>
      <c r="T172" s="232">
        <v>-1286227</v>
      </c>
      <c r="U172" s="229" t="s">
        <v>277</v>
      </c>
      <c r="AC172" s="229" t="s">
        <v>278</v>
      </c>
      <c r="AF172">
        <v>20241231</v>
      </c>
      <c r="AI172" s="233">
        <v>20241231</v>
      </c>
      <c r="AJ172">
        <v>8002514406</v>
      </c>
      <c r="AL172"/>
      <c r="AM172" s="230" t="s">
        <v>283</v>
      </c>
      <c r="AO172" s="234" t="s">
        <v>115</v>
      </c>
      <c r="AP172" s="232">
        <f t="shared" si="4"/>
        <v>1286227</v>
      </c>
      <c r="AQ172" s="230">
        <f t="shared" si="5"/>
        <v>12</v>
      </c>
    </row>
    <row r="173" spans="1:43" ht="13.8" customHeight="1">
      <c r="A173" s="228">
        <v>1</v>
      </c>
      <c r="B173" s="229" t="s">
        <v>273</v>
      </c>
      <c r="C173" s="230" t="s">
        <v>280</v>
      </c>
      <c r="D173" s="231">
        <v>45688</v>
      </c>
      <c r="E173" s="231">
        <v>45688</v>
      </c>
      <c r="F173" s="230" t="s">
        <v>281</v>
      </c>
      <c r="G173" s="228" t="s">
        <v>275</v>
      </c>
      <c r="I173" s="230">
        <v>107</v>
      </c>
      <c r="J173" s="228" t="s">
        <v>276</v>
      </c>
      <c r="K173" s="230">
        <v>1533010002</v>
      </c>
      <c r="T173" s="232">
        <v>-34987516</v>
      </c>
      <c r="U173" s="229" t="s">
        <v>277</v>
      </c>
      <c r="AC173" s="229" t="s">
        <v>278</v>
      </c>
      <c r="AF173">
        <v>20250131</v>
      </c>
      <c r="AI173" s="233">
        <v>20250131</v>
      </c>
      <c r="AJ173">
        <v>8000887022</v>
      </c>
      <c r="AL173"/>
      <c r="AM173" s="230" t="s">
        <v>292</v>
      </c>
      <c r="AO173" s="234" t="s">
        <v>108</v>
      </c>
      <c r="AP173" s="232">
        <f t="shared" si="4"/>
        <v>34987516</v>
      </c>
      <c r="AQ173" s="230">
        <f t="shared" si="5"/>
        <v>1</v>
      </c>
    </row>
    <row r="174" spans="1:43" ht="13.8" customHeight="1">
      <c r="A174" s="228">
        <v>1</v>
      </c>
      <c r="B174" s="229" t="s">
        <v>273</v>
      </c>
      <c r="C174" s="230" t="s">
        <v>280</v>
      </c>
      <c r="D174" s="231">
        <v>45688</v>
      </c>
      <c r="E174" s="231">
        <v>45688</v>
      </c>
      <c r="F174" s="230" t="s">
        <v>281</v>
      </c>
      <c r="G174" s="228" t="s">
        <v>275</v>
      </c>
      <c r="I174" s="230">
        <v>108</v>
      </c>
      <c r="J174" s="228" t="s">
        <v>276</v>
      </c>
      <c r="K174" s="230">
        <v>1533010002</v>
      </c>
      <c r="T174" s="232">
        <v>-26474090</v>
      </c>
      <c r="U174" s="229" t="s">
        <v>277</v>
      </c>
      <c r="AC174" s="229" t="s">
        <v>278</v>
      </c>
      <c r="AF174">
        <v>20250131</v>
      </c>
      <c r="AI174" s="233">
        <v>20250131</v>
      </c>
      <c r="AJ174">
        <v>8001309074</v>
      </c>
      <c r="AL174"/>
      <c r="AM174" s="230" t="s">
        <v>305</v>
      </c>
      <c r="AO174" s="234">
        <v>0</v>
      </c>
      <c r="AP174" s="232">
        <f t="shared" si="4"/>
        <v>26474090</v>
      </c>
      <c r="AQ174" s="230">
        <f t="shared" si="5"/>
        <v>1</v>
      </c>
    </row>
    <row r="175" spans="1:43" ht="13.8" customHeight="1">
      <c r="A175" s="228">
        <v>1</v>
      </c>
      <c r="B175" s="229" t="s">
        <v>273</v>
      </c>
      <c r="C175" s="230" t="s">
        <v>280</v>
      </c>
      <c r="D175" s="231">
        <v>45688</v>
      </c>
      <c r="E175" s="231">
        <v>45688</v>
      </c>
      <c r="F175" s="230" t="s">
        <v>281</v>
      </c>
      <c r="G175" s="228" t="s">
        <v>275</v>
      </c>
      <c r="I175" s="230">
        <v>109</v>
      </c>
      <c r="J175" s="228" t="s">
        <v>276</v>
      </c>
      <c r="K175" s="230">
        <v>1533010002</v>
      </c>
      <c r="T175" s="232">
        <v>-519518</v>
      </c>
      <c r="U175" s="229" t="s">
        <v>277</v>
      </c>
      <c r="AC175" s="229" t="s">
        <v>278</v>
      </c>
      <c r="AF175">
        <v>20250131</v>
      </c>
      <c r="AI175" s="233">
        <v>20250131</v>
      </c>
      <c r="AJ175">
        <v>8002261753</v>
      </c>
      <c r="AL175"/>
      <c r="AM175" s="230" t="s">
        <v>310</v>
      </c>
      <c r="AO175" s="234">
        <v>0</v>
      </c>
      <c r="AP175" s="232">
        <f t="shared" si="4"/>
        <v>519518</v>
      </c>
      <c r="AQ175" s="230">
        <f t="shared" si="5"/>
        <v>1</v>
      </c>
    </row>
    <row r="176" spans="1:43" ht="13.8" customHeight="1">
      <c r="A176" s="228">
        <v>1</v>
      </c>
      <c r="B176" s="229" t="s">
        <v>273</v>
      </c>
      <c r="C176" s="230" t="s">
        <v>280</v>
      </c>
      <c r="D176" s="231">
        <v>45688</v>
      </c>
      <c r="E176" s="231">
        <v>45688</v>
      </c>
      <c r="F176" s="230" t="s">
        <v>281</v>
      </c>
      <c r="G176" s="228" t="s">
        <v>275</v>
      </c>
      <c r="I176" s="230">
        <v>110</v>
      </c>
      <c r="J176" s="228" t="s">
        <v>276</v>
      </c>
      <c r="K176" s="230">
        <v>1533010002</v>
      </c>
      <c r="T176" s="232">
        <v>-7592010</v>
      </c>
      <c r="U176" s="229" t="s">
        <v>277</v>
      </c>
      <c r="AC176" s="229" t="s">
        <v>278</v>
      </c>
      <c r="AF176">
        <v>20250131</v>
      </c>
      <c r="AI176" s="233">
        <v>20250131</v>
      </c>
      <c r="AJ176">
        <v>8002492410</v>
      </c>
      <c r="AL176"/>
      <c r="AM176" s="230" t="s">
        <v>297</v>
      </c>
      <c r="AO176" s="234">
        <v>0</v>
      </c>
      <c r="AP176" s="232">
        <f t="shared" si="4"/>
        <v>7592010</v>
      </c>
      <c r="AQ176" s="230">
        <f t="shared" si="5"/>
        <v>1</v>
      </c>
    </row>
    <row r="177" spans="1:43" ht="13.8" customHeight="1">
      <c r="A177" s="228">
        <v>1</v>
      </c>
      <c r="B177" s="229" t="s">
        <v>273</v>
      </c>
      <c r="C177" s="230" t="s">
        <v>280</v>
      </c>
      <c r="D177" s="231">
        <v>45688</v>
      </c>
      <c r="E177" s="231">
        <v>45688</v>
      </c>
      <c r="F177" s="230" t="s">
        <v>281</v>
      </c>
      <c r="G177" s="228" t="s">
        <v>275</v>
      </c>
      <c r="I177" s="230">
        <v>111</v>
      </c>
      <c r="J177" s="228" t="s">
        <v>276</v>
      </c>
      <c r="K177" s="230">
        <v>1533010002</v>
      </c>
      <c r="T177" s="232">
        <v>-101919538</v>
      </c>
      <c r="U177" s="229" t="s">
        <v>277</v>
      </c>
      <c r="AC177" s="229" t="s">
        <v>278</v>
      </c>
      <c r="AF177">
        <v>20250131</v>
      </c>
      <c r="AI177" s="233">
        <v>20250131</v>
      </c>
      <c r="AJ177">
        <v>8002514406</v>
      </c>
      <c r="AL177"/>
      <c r="AM177" s="230" t="s">
        <v>283</v>
      </c>
      <c r="AO177" s="234" t="s">
        <v>115</v>
      </c>
      <c r="AP177" s="232">
        <f t="shared" si="4"/>
        <v>101919538</v>
      </c>
      <c r="AQ177" s="230">
        <f t="shared" si="5"/>
        <v>1</v>
      </c>
    </row>
    <row r="178" spans="1:43" ht="13.8" customHeight="1">
      <c r="A178" s="228">
        <v>1</v>
      </c>
      <c r="B178" s="229" t="s">
        <v>273</v>
      </c>
      <c r="C178" s="230" t="s">
        <v>280</v>
      </c>
      <c r="D178" s="231">
        <v>45688</v>
      </c>
      <c r="E178" s="231">
        <v>45688</v>
      </c>
      <c r="F178" s="230" t="s">
        <v>281</v>
      </c>
      <c r="G178" s="228" t="s">
        <v>275</v>
      </c>
      <c r="I178" s="230">
        <v>112</v>
      </c>
      <c r="J178" s="228" t="s">
        <v>276</v>
      </c>
      <c r="K178" s="230">
        <v>1533010002</v>
      </c>
      <c r="T178" s="232">
        <v>-43334</v>
      </c>
      <c r="U178" s="229" t="s">
        <v>277</v>
      </c>
      <c r="AC178" s="229" t="s">
        <v>278</v>
      </c>
      <c r="AF178">
        <v>20250131</v>
      </c>
      <c r="AI178" s="233">
        <v>20250131</v>
      </c>
      <c r="AJ178">
        <v>8060083947</v>
      </c>
      <c r="AL178"/>
      <c r="AM178" s="230" t="s">
        <v>298</v>
      </c>
      <c r="AO178" s="234">
        <v>0</v>
      </c>
      <c r="AP178" s="232">
        <f t="shared" si="4"/>
        <v>43334</v>
      </c>
      <c r="AQ178" s="230">
        <f t="shared" si="5"/>
        <v>1</v>
      </c>
    </row>
    <row r="179" spans="1:43" ht="13.8" customHeight="1">
      <c r="A179" s="228">
        <v>1</v>
      </c>
      <c r="B179" s="229" t="s">
        <v>273</v>
      </c>
      <c r="C179" s="230" t="s">
        <v>280</v>
      </c>
      <c r="D179" s="231">
        <v>45688</v>
      </c>
      <c r="E179" s="231">
        <v>45688</v>
      </c>
      <c r="F179" s="230" t="s">
        <v>281</v>
      </c>
      <c r="G179" s="228" t="s">
        <v>275</v>
      </c>
      <c r="I179" s="230">
        <v>113</v>
      </c>
      <c r="J179" s="228" t="s">
        <v>276</v>
      </c>
      <c r="K179" s="230">
        <v>1533010002</v>
      </c>
      <c r="T179" s="232">
        <v>-173335</v>
      </c>
      <c r="U179" s="229" t="s">
        <v>277</v>
      </c>
      <c r="AC179" s="229" t="s">
        <v>278</v>
      </c>
      <c r="AF179">
        <v>20250131</v>
      </c>
      <c r="AI179" s="233">
        <v>20250131</v>
      </c>
      <c r="AJ179">
        <v>8060083947</v>
      </c>
      <c r="AL179"/>
      <c r="AM179" s="230" t="s">
        <v>293</v>
      </c>
      <c r="AO179" s="234">
        <v>0</v>
      </c>
      <c r="AP179" s="232">
        <f t="shared" si="4"/>
        <v>173335</v>
      </c>
      <c r="AQ179" s="230">
        <f t="shared" si="5"/>
        <v>1</v>
      </c>
    </row>
    <row r="180" spans="1:43" ht="13.8" customHeight="1">
      <c r="A180" s="228">
        <v>1</v>
      </c>
      <c r="B180" s="229" t="s">
        <v>273</v>
      </c>
      <c r="C180" s="230" t="s">
        <v>280</v>
      </c>
      <c r="D180" s="231">
        <v>45688</v>
      </c>
      <c r="E180" s="231">
        <v>45688</v>
      </c>
      <c r="F180" s="230" t="s">
        <v>281</v>
      </c>
      <c r="G180" s="228" t="s">
        <v>275</v>
      </c>
      <c r="I180" s="230">
        <v>114</v>
      </c>
      <c r="J180" s="228" t="s">
        <v>276</v>
      </c>
      <c r="K180" s="230">
        <v>1533010002</v>
      </c>
      <c r="T180" s="232">
        <v>-2773376</v>
      </c>
      <c r="U180" s="229" t="s">
        <v>277</v>
      </c>
      <c r="AC180" s="229" t="s">
        <v>278</v>
      </c>
      <c r="AF180">
        <v>20250131</v>
      </c>
      <c r="AI180" s="233">
        <v>20250131</v>
      </c>
      <c r="AJ180">
        <v>8140003371</v>
      </c>
      <c r="AL180"/>
      <c r="AM180" s="230" t="s">
        <v>285</v>
      </c>
      <c r="AO180" s="234" t="s">
        <v>82</v>
      </c>
      <c r="AP180" s="232">
        <f t="shared" si="4"/>
        <v>2773376</v>
      </c>
      <c r="AQ180" s="230">
        <f t="shared" si="5"/>
        <v>1</v>
      </c>
    </row>
    <row r="181" spans="1:43" ht="13.8" customHeight="1">
      <c r="A181" s="228">
        <v>1</v>
      </c>
      <c r="B181" s="229" t="s">
        <v>273</v>
      </c>
      <c r="C181" s="230" t="s">
        <v>280</v>
      </c>
      <c r="D181" s="231">
        <v>45688</v>
      </c>
      <c r="E181" s="231">
        <v>45688</v>
      </c>
      <c r="F181" s="230" t="s">
        <v>281</v>
      </c>
      <c r="G181" s="228" t="s">
        <v>275</v>
      </c>
      <c r="I181" s="230">
        <v>115</v>
      </c>
      <c r="J181" s="228" t="s">
        <v>276</v>
      </c>
      <c r="K181" s="230">
        <v>1533010002</v>
      </c>
      <c r="T181" s="232">
        <v>-20452664</v>
      </c>
      <c r="U181" s="229" t="s">
        <v>277</v>
      </c>
      <c r="AC181" s="229" t="s">
        <v>278</v>
      </c>
      <c r="AF181">
        <v>20250131</v>
      </c>
      <c r="AI181" s="233">
        <v>20250131</v>
      </c>
      <c r="AJ181">
        <v>8300035647</v>
      </c>
      <c r="AL181"/>
      <c r="AM181" s="230" t="s">
        <v>286</v>
      </c>
      <c r="AO181" s="234" t="s">
        <v>109</v>
      </c>
      <c r="AP181" s="232">
        <f t="shared" si="4"/>
        <v>20452664</v>
      </c>
      <c r="AQ181" s="230">
        <f t="shared" si="5"/>
        <v>1</v>
      </c>
    </row>
    <row r="182" spans="1:43" ht="13.8" customHeight="1">
      <c r="A182" s="228">
        <v>1</v>
      </c>
      <c r="B182" s="229" t="s">
        <v>273</v>
      </c>
      <c r="C182" s="230" t="s">
        <v>280</v>
      </c>
      <c r="D182" s="231">
        <v>45688</v>
      </c>
      <c r="E182" s="231">
        <v>45688</v>
      </c>
      <c r="F182" s="230" t="s">
        <v>281</v>
      </c>
      <c r="G182" s="228" t="s">
        <v>275</v>
      </c>
      <c r="I182" s="230">
        <v>116</v>
      </c>
      <c r="J182" s="228" t="s">
        <v>276</v>
      </c>
      <c r="K182" s="230">
        <v>1533010002</v>
      </c>
      <c r="T182" s="232">
        <v>-1059871</v>
      </c>
      <c r="U182" s="229" t="s">
        <v>277</v>
      </c>
      <c r="AC182" s="229" t="s">
        <v>278</v>
      </c>
      <c r="AF182">
        <v>20250131</v>
      </c>
      <c r="AI182" s="233">
        <v>20250131</v>
      </c>
      <c r="AJ182">
        <v>8301138310</v>
      </c>
      <c r="AL182"/>
      <c r="AM182" s="230" t="s">
        <v>287</v>
      </c>
      <c r="AO182" s="234">
        <v>0</v>
      </c>
      <c r="AP182" s="232">
        <f t="shared" si="4"/>
        <v>1059871</v>
      </c>
      <c r="AQ182" s="230">
        <f t="shared" si="5"/>
        <v>1</v>
      </c>
    </row>
    <row r="183" spans="1:43" ht="13.8" customHeight="1">
      <c r="A183" s="228">
        <v>1</v>
      </c>
      <c r="B183" s="229" t="s">
        <v>273</v>
      </c>
      <c r="C183" s="230" t="s">
        <v>280</v>
      </c>
      <c r="D183" s="231">
        <v>45688</v>
      </c>
      <c r="E183" s="231">
        <v>45688</v>
      </c>
      <c r="F183" s="230" t="s">
        <v>281</v>
      </c>
      <c r="G183" s="228" t="s">
        <v>275</v>
      </c>
      <c r="I183" s="230">
        <v>117</v>
      </c>
      <c r="J183" s="228" t="s">
        <v>276</v>
      </c>
      <c r="K183" s="230">
        <v>1533010002</v>
      </c>
      <c r="T183" s="232">
        <v>-16184248</v>
      </c>
      <c r="U183" s="229" t="s">
        <v>277</v>
      </c>
      <c r="AC183" s="229" t="s">
        <v>278</v>
      </c>
      <c r="AF183">
        <v>20250131</v>
      </c>
      <c r="AI183" s="233">
        <v>20250131</v>
      </c>
      <c r="AJ183">
        <v>8600021839</v>
      </c>
      <c r="AL183"/>
      <c r="AM183" s="230" t="s">
        <v>288</v>
      </c>
      <c r="AO183" s="234">
        <v>0</v>
      </c>
      <c r="AP183" s="232">
        <f t="shared" si="4"/>
        <v>16184248</v>
      </c>
      <c r="AQ183" s="230">
        <f t="shared" si="5"/>
        <v>1</v>
      </c>
    </row>
    <row r="184" spans="1:43" ht="13.8" customHeight="1">
      <c r="A184" s="228">
        <v>1</v>
      </c>
      <c r="B184" s="229" t="s">
        <v>273</v>
      </c>
      <c r="C184" s="230" t="s">
        <v>280</v>
      </c>
      <c r="D184" s="231">
        <v>45688</v>
      </c>
      <c r="E184" s="231">
        <v>45688</v>
      </c>
      <c r="F184" s="230" t="s">
        <v>281</v>
      </c>
      <c r="G184" s="228" t="s">
        <v>275</v>
      </c>
      <c r="I184" s="230">
        <v>118</v>
      </c>
      <c r="J184" s="228" t="s">
        <v>276</v>
      </c>
      <c r="K184" s="230">
        <v>1533010002</v>
      </c>
      <c r="T184" s="232">
        <v>-18219531</v>
      </c>
      <c r="U184" s="229" t="s">
        <v>277</v>
      </c>
      <c r="AC184" s="229" t="s">
        <v>278</v>
      </c>
      <c r="AF184">
        <v>20250131</v>
      </c>
      <c r="AI184" s="233">
        <v>20250131</v>
      </c>
      <c r="AJ184">
        <v>8600669427</v>
      </c>
      <c r="AL184"/>
      <c r="AM184" s="230" t="s">
        <v>289</v>
      </c>
      <c r="AO184" s="234" t="s">
        <v>101</v>
      </c>
      <c r="AP184" s="232">
        <f t="shared" si="4"/>
        <v>18219531</v>
      </c>
      <c r="AQ184" s="230">
        <f t="shared" si="5"/>
        <v>1</v>
      </c>
    </row>
    <row r="185" spans="1:43" ht="13.8" customHeight="1">
      <c r="A185" s="228">
        <v>1</v>
      </c>
      <c r="B185" s="229" t="s">
        <v>273</v>
      </c>
      <c r="C185" s="230" t="s">
        <v>280</v>
      </c>
      <c r="D185" s="231">
        <v>45688</v>
      </c>
      <c r="E185" s="231">
        <v>45688</v>
      </c>
      <c r="F185" s="230" t="s">
        <v>281</v>
      </c>
      <c r="G185" s="228" t="s">
        <v>275</v>
      </c>
      <c r="I185" s="230">
        <v>119</v>
      </c>
      <c r="J185" s="228" t="s">
        <v>276</v>
      </c>
      <c r="K185" s="230">
        <v>1533010002</v>
      </c>
      <c r="T185" s="232">
        <v>-224700</v>
      </c>
      <c r="U185" s="229" t="s">
        <v>277</v>
      </c>
      <c r="AC185" s="229" t="s">
        <v>278</v>
      </c>
      <c r="AF185">
        <v>20250131</v>
      </c>
      <c r="AI185" s="233">
        <v>20250131</v>
      </c>
      <c r="AJ185">
        <v>8600669427</v>
      </c>
      <c r="AL185"/>
      <c r="AM185" s="230" t="s">
        <v>300</v>
      </c>
      <c r="AO185" s="234" t="s">
        <v>101</v>
      </c>
      <c r="AP185" s="232">
        <f t="shared" si="4"/>
        <v>224700</v>
      </c>
      <c r="AQ185" s="230">
        <f t="shared" si="5"/>
        <v>1</v>
      </c>
    </row>
    <row r="186" spans="1:43" ht="13.8" customHeight="1">
      <c r="A186" s="228">
        <v>1</v>
      </c>
      <c r="B186" s="229" t="s">
        <v>273</v>
      </c>
      <c r="C186" s="230" t="s">
        <v>280</v>
      </c>
      <c r="D186" s="231">
        <v>45688</v>
      </c>
      <c r="E186" s="231">
        <v>45688</v>
      </c>
      <c r="F186" s="230" t="s">
        <v>281</v>
      </c>
      <c r="G186" s="228" t="s">
        <v>275</v>
      </c>
      <c r="I186" s="230">
        <v>120</v>
      </c>
      <c r="J186" s="228" t="s">
        <v>276</v>
      </c>
      <c r="K186" s="230">
        <v>1533010002</v>
      </c>
      <c r="T186" s="232">
        <v>-26277515</v>
      </c>
      <c r="U186" s="229" t="s">
        <v>277</v>
      </c>
      <c r="AC186" s="229" t="s">
        <v>278</v>
      </c>
      <c r="AF186">
        <v>20250131</v>
      </c>
      <c r="AI186" s="233">
        <v>20250131</v>
      </c>
      <c r="AJ186">
        <v>9001562642</v>
      </c>
      <c r="AL186"/>
      <c r="AM186" s="230" t="s">
        <v>290</v>
      </c>
      <c r="AO186" s="234" t="s">
        <v>111</v>
      </c>
      <c r="AP186" s="232">
        <f t="shared" si="4"/>
        <v>26277515</v>
      </c>
      <c r="AQ186" s="230">
        <f t="shared" si="5"/>
        <v>1</v>
      </c>
    </row>
    <row r="187" spans="1:43" ht="13.8" customHeight="1">
      <c r="A187" s="228">
        <v>1</v>
      </c>
      <c r="B187" s="229" t="s">
        <v>273</v>
      </c>
      <c r="C187" s="230" t="s">
        <v>280</v>
      </c>
      <c r="D187" s="231">
        <v>45688</v>
      </c>
      <c r="E187" s="231">
        <v>45688</v>
      </c>
      <c r="F187" s="230" t="s">
        <v>281</v>
      </c>
      <c r="G187" s="228" t="s">
        <v>275</v>
      </c>
      <c r="I187" s="230">
        <v>121</v>
      </c>
      <c r="J187" s="228" t="s">
        <v>276</v>
      </c>
      <c r="K187" s="230">
        <v>1533010002</v>
      </c>
      <c r="T187" s="232">
        <v>-969734</v>
      </c>
      <c r="U187" s="229" t="s">
        <v>277</v>
      </c>
      <c r="AC187" s="229" t="s">
        <v>278</v>
      </c>
      <c r="AF187">
        <v>20250131</v>
      </c>
      <c r="AI187" s="233">
        <v>20250131</v>
      </c>
      <c r="AJ187">
        <v>9009142541</v>
      </c>
      <c r="AL187"/>
      <c r="AM187" s="230" t="s">
        <v>296</v>
      </c>
      <c r="AO187" s="234">
        <v>0</v>
      </c>
      <c r="AP187" s="232">
        <f t="shared" si="4"/>
        <v>969734</v>
      </c>
      <c r="AQ187" s="230">
        <f t="shared" si="5"/>
        <v>1</v>
      </c>
    </row>
    <row r="188" spans="1:43" ht="13.8" customHeight="1">
      <c r="A188" s="228">
        <v>1</v>
      </c>
      <c r="B188" s="229" t="s">
        <v>273</v>
      </c>
      <c r="C188" s="230" t="s">
        <v>280</v>
      </c>
      <c r="D188" s="231">
        <v>45688</v>
      </c>
      <c r="E188" s="231">
        <v>45688</v>
      </c>
      <c r="F188" s="230" t="s">
        <v>281</v>
      </c>
      <c r="G188" s="228" t="s">
        <v>275</v>
      </c>
      <c r="I188" s="230">
        <v>122</v>
      </c>
      <c r="J188" s="228" t="s">
        <v>276</v>
      </c>
      <c r="K188" s="230">
        <v>1533010002</v>
      </c>
      <c r="T188" s="232">
        <v>-130000</v>
      </c>
      <c r="U188" s="229" t="s">
        <v>277</v>
      </c>
      <c r="AC188" s="229" t="s">
        <v>278</v>
      </c>
      <c r="AF188">
        <v>20250131</v>
      </c>
      <c r="AI188" s="233">
        <v>20250131</v>
      </c>
      <c r="AJ188">
        <v>8002492410</v>
      </c>
      <c r="AL188"/>
      <c r="AM188" s="230" t="s">
        <v>297</v>
      </c>
      <c r="AO188" s="234">
        <v>0</v>
      </c>
      <c r="AP188" s="232">
        <f t="shared" si="4"/>
        <v>130000</v>
      </c>
      <c r="AQ188" s="230">
        <f t="shared" si="5"/>
        <v>1</v>
      </c>
    </row>
    <row r="189" spans="1:43" ht="13.8" customHeight="1">
      <c r="A189" s="228">
        <v>1</v>
      </c>
      <c r="B189" s="229" t="s">
        <v>273</v>
      </c>
      <c r="C189" s="230" t="s">
        <v>280</v>
      </c>
      <c r="D189" s="231">
        <v>45688</v>
      </c>
      <c r="E189" s="231">
        <v>45688</v>
      </c>
      <c r="F189" s="230" t="s">
        <v>281</v>
      </c>
      <c r="G189" s="228" t="s">
        <v>275</v>
      </c>
      <c r="I189" s="230">
        <v>123</v>
      </c>
      <c r="J189" s="228" t="s">
        <v>276</v>
      </c>
      <c r="K189" s="230">
        <v>1533010002</v>
      </c>
      <c r="T189" s="232">
        <v>-35011850</v>
      </c>
      <c r="U189" s="229" t="s">
        <v>277</v>
      </c>
      <c r="AC189" s="229" t="s">
        <v>278</v>
      </c>
      <c r="AF189">
        <v>20250131</v>
      </c>
      <c r="AI189" s="233">
        <v>20250131</v>
      </c>
      <c r="AJ189">
        <v>8600669427</v>
      </c>
      <c r="AL189"/>
      <c r="AM189" s="230" t="s">
        <v>289</v>
      </c>
      <c r="AO189" s="234" t="s">
        <v>101</v>
      </c>
      <c r="AP189" s="232">
        <f t="shared" si="4"/>
        <v>35011850</v>
      </c>
      <c r="AQ189" s="230">
        <f t="shared" si="5"/>
        <v>1</v>
      </c>
    </row>
    <row r="190" spans="1:43" ht="13.8" customHeight="1">
      <c r="A190" s="228">
        <v>1</v>
      </c>
      <c r="B190" s="229" t="s">
        <v>273</v>
      </c>
      <c r="C190" s="230" t="s">
        <v>280</v>
      </c>
      <c r="D190" s="231">
        <v>45688</v>
      </c>
      <c r="E190" s="231">
        <v>45688</v>
      </c>
      <c r="F190" s="230" t="s">
        <v>281</v>
      </c>
      <c r="G190" s="228" t="s">
        <v>275</v>
      </c>
      <c r="I190" s="230">
        <v>124</v>
      </c>
      <c r="J190" s="228" t="s">
        <v>276</v>
      </c>
      <c r="K190" s="230">
        <v>1533010002</v>
      </c>
      <c r="T190" s="232">
        <v>-93329</v>
      </c>
      <c r="U190" s="229" t="s">
        <v>277</v>
      </c>
      <c r="AC190" s="229" t="s">
        <v>278</v>
      </c>
      <c r="AF190">
        <v>20250131</v>
      </c>
      <c r="AI190" s="233">
        <v>20250131</v>
      </c>
      <c r="AJ190">
        <v>8909049961</v>
      </c>
      <c r="AL190"/>
      <c r="AM190" s="230" t="s">
        <v>216</v>
      </c>
      <c r="AO190" s="234">
        <v>0</v>
      </c>
      <c r="AP190" s="232">
        <f t="shared" si="4"/>
        <v>93329</v>
      </c>
      <c r="AQ190" s="230">
        <f t="shared" si="5"/>
        <v>1</v>
      </c>
    </row>
    <row r="191" spans="1:43" ht="13.8" customHeight="1">
      <c r="A191" s="228">
        <v>1</v>
      </c>
      <c r="B191" s="229" t="s">
        <v>273</v>
      </c>
      <c r="C191" s="230" t="s">
        <v>280</v>
      </c>
      <c r="D191" s="231">
        <v>45688</v>
      </c>
      <c r="E191" s="231">
        <v>45688</v>
      </c>
      <c r="F191" s="230" t="s">
        <v>281</v>
      </c>
      <c r="G191" s="228" t="s">
        <v>275</v>
      </c>
      <c r="I191" s="230">
        <v>2</v>
      </c>
      <c r="J191" s="228" t="s">
        <v>276</v>
      </c>
      <c r="K191" s="230">
        <v>1533010002</v>
      </c>
      <c r="T191" s="232">
        <v>-29688</v>
      </c>
      <c r="U191" s="229" t="s">
        <v>277</v>
      </c>
      <c r="AC191" s="229" t="s">
        <v>278</v>
      </c>
      <c r="AF191">
        <v>20250131</v>
      </c>
      <c r="AI191" s="233">
        <v>20250131</v>
      </c>
      <c r="AJ191">
        <v>8909049961</v>
      </c>
      <c r="AL191"/>
      <c r="AM191" s="230" t="s">
        <v>216</v>
      </c>
      <c r="AO191" s="234">
        <v>0</v>
      </c>
      <c r="AP191" s="232">
        <f t="shared" si="4"/>
        <v>29688</v>
      </c>
      <c r="AQ191" s="230">
        <f t="shared" si="5"/>
        <v>1</v>
      </c>
    </row>
    <row r="192" spans="1:43" ht="14.4">
      <c r="A192" s="228">
        <v>1</v>
      </c>
      <c r="B192" s="229" t="s">
        <v>273</v>
      </c>
      <c r="C192" s="230" t="s">
        <v>280</v>
      </c>
      <c r="D192" s="231">
        <v>45716</v>
      </c>
      <c r="E192" s="231">
        <v>45716</v>
      </c>
      <c r="F192" s="230" t="s">
        <v>281</v>
      </c>
      <c r="G192" s="228" t="s">
        <v>275</v>
      </c>
      <c r="I192" s="230">
        <f t="shared" ref="I192:I210" si="6">+ROW()-1</f>
        <v>191</v>
      </c>
      <c r="J192" s="228" t="s">
        <v>276</v>
      </c>
      <c r="K192" s="230">
        <v>1533010002</v>
      </c>
      <c r="T192" s="232">
        <v>-21928817</v>
      </c>
      <c r="U192" s="229" t="s">
        <v>277</v>
      </c>
      <c r="AC192" s="229" t="s">
        <v>278</v>
      </c>
      <c r="AF192" s="235">
        <v>20250228</v>
      </c>
      <c r="AI192" s="236">
        <f>+AF192</f>
        <v>20250228</v>
      </c>
      <c r="AJ192">
        <v>8000887022</v>
      </c>
      <c r="AL192"/>
      <c r="AM192" t="s">
        <v>292</v>
      </c>
      <c r="AO192" s="234" t="s">
        <v>108</v>
      </c>
      <c r="AP192" s="232">
        <f t="shared" si="4"/>
        <v>21928817</v>
      </c>
      <c r="AQ192" s="230">
        <f t="shared" si="5"/>
        <v>2</v>
      </c>
    </row>
    <row r="193" spans="1:43" ht="14.4">
      <c r="A193" s="228">
        <v>1</v>
      </c>
      <c r="B193" s="229" t="s">
        <v>273</v>
      </c>
      <c r="C193" s="230" t="s">
        <v>280</v>
      </c>
      <c r="D193" s="231">
        <v>45716</v>
      </c>
      <c r="E193" s="231">
        <v>45716</v>
      </c>
      <c r="F193" s="230" t="s">
        <v>281</v>
      </c>
      <c r="G193" s="228" t="s">
        <v>275</v>
      </c>
      <c r="I193" s="230">
        <f t="shared" si="6"/>
        <v>192</v>
      </c>
      <c r="J193" s="228" t="s">
        <v>276</v>
      </c>
      <c r="K193" s="230">
        <v>1533010002</v>
      </c>
      <c r="T193" s="232">
        <v>-13779397</v>
      </c>
      <c r="U193" s="229" t="s">
        <v>277</v>
      </c>
      <c r="AC193" s="229" t="s">
        <v>278</v>
      </c>
      <c r="AF193" s="235">
        <v>20250228</v>
      </c>
      <c r="AI193" s="236">
        <f t="shared" ref="AI193:AI210" si="7">+AF193</f>
        <v>20250228</v>
      </c>
      <c r="AJ193">
        <v>8001309074</v>
      </c>
      <c r="AL193"/>
      <c r="AM193" t="s">
        <v>305</v>
      </c>
      <c r="AO193" s="234">
        <v>0</v>
      </c>
      <c r="AP193" s="232">
        <f t="shared" si="4"/>
        <v>13779397</v>
      </c>
      <c r="AQ193" s="230">
        <f t="shared" si="5"/>
        <v>2</v>
      </c>
    </row>
    <row r="194" spans="1:43" ht="14.4">
      <c r="A194" s="228">
        <v>1</v>
      </c>
      <c r="B194" s="229" t="s">
        <v>273</v>
      </c>
      <c r="C194" s="230" t="s">
        <v>280</v>
      </c>
      <c r="D194" s="231">
        <v>45716</v>
      </c>
      <c r="E194" s="231">
        <v>45716</v>
      </c>
      <c r="F194" s="230" t="s">
        <v>281</v>
      </c>
      <c r="G194" s="228" t="s">
        <v>275</v>
      </c>
      <c r="I194" s="230">
        <f t="shared" si="6"/>
        <v>193</v>
      </c>
      <c r="J194" s="228" t="s">
        <v>276</v>
      </c>
      <c r="K194" s="230">
        <v>1533010002</v>
      </c>
      <c r="T194" s="232">
        <v>-5204117</v>
      </c>
      <c r="U194" s="229" t="s">
        <v>277</v>
      </c>
      <c r="AC194" s="229" t="s">
        <v>278</v>
      </c>
      <c r="AF194" s="235">
        <v>20250228</v>
      </c>
      <c r="AI194" s="236">
        <f t="shared" si="7"/>
        <v>20250228</v>
      </c>
      <c r="AJ194">
        <v>8002492410</v>
      </c>
      <c r="AL194"/>
      <c r="AM194" t="s">
        <v>297</v>
      </c>
      <c r="AO194" s="234">
        <v>0</v>
      </c>
      <c r="AP194" s="232">
        <f t="shared" si="4"/>
        <v>5204117</v>
      </c>
      <c r="AQ194" s="230">
        <f t="shared" si="5"/>
        <v>2</v>
      </c>
    </row>
    <row r="195" spans="1:43" ht="14.4">
      <c r="A195" s="228">
        <v>1</v>
      </c>
      <c r="B195" s="229" t="s">
        <v>273</v>
      </c>
      <c r="C195" s="230" t="s">
        <v>280</v>
      </c>
      <c r="D195" s="231">
        <v>45716</v>
      </c>
      <c r="E195" s="231">
        <v>45716</v>
      </c>
      <c r="F195" s="230" t="s">
        <v>281</v>
      </c>
      <c r="G195" s="228" t="s">
        <v>275</v>
      </c>
      <c r="I195" s="230">
        <f t="shared" si="6"/>
        <v>194</v>
      </c>
      <c r="J195" s="228" t="s">
        <v>276</v>
      </c>
      <c r="K195" s="230">
        <v>1533010002</v>
      </c>
      <c r="T195" s="232">
        <v>-28467048</v>
      </c>
      <c r="U195" s="229" t="s">
        <v>277</v>
      </c>
      <c r="AC195" s="229" t="s">
        <v>278</v>
      </c>
      <c r="AF195" s="235">
        <v>20250228</v>
      </c>
      <c r="AI195" s="236">
        <f t="shared" si="7"/>
        <v>20250228</v>
      </c>
      <c r="AJ195">
        <v>8002514406</v>
      </c>
      <c r="AL195"/>
      <c r="AM195" t="s">
        <v>283</v>
      </c>
      <c r="AO195" s="234" t="s">
        <v>115</v>
      </c>
      <c r="AP195" s="232">
        <f t="shared" ref="AP195:AP258" si="8">+ABS(T195)</f>
        <v>28467048</v>
      </c>
      <c r="AQ195" s="230">
        <f t="shared" ref="AQ195:AQ258" si="9">+MONTH(D195)</f>
        <v>2</v>
      </c>
    </row>
    <row r="196" spans="1:43" ht="14.4">
      <c r="A196" s="228">
        <v>1</v>
      </c>
      <c r="B196" s="229" t="s">
        <v>273</v>
      </c>
      <c r="C196" s="230" t="s">
        <v>280</v>
      </c>
      <c r="D196" s="231">
        <v>45716</v>
      </c>
      <c r="E196" s="231">
        <v>45716</v>
      </c>
      <c r="F196" s="230" t="s">
        <v>281</v>
      </c>
      <c r="G196" s="228" t="s">
        <v>275</v>
      </c>
      <c r="I196" s="230">
        <f t="shared" si="6"/>
        <v>195</v>
      </c>
      <c r="J196" s="228" t="s">
        <v>276</v>
      </c>
      <c r="K196" s="230">
        <v>1533010002</v>
      </c>
      <c r="T196" s="232">
        <v>-5517667</v>
      </c>
      <c r="U196" s="229" t="s">
        <v>277</v>
      </c>
      <c r="AC196" s="229" t="s">
        <v>278</v>
      </c>
      <c r="AF196" s="235">
        <v>20250228</v>
      </c>
      <c r="AI196" s="236">
        <f t="shared" si="7"/>
        <v>20250228</v>
      </c>
      <c r="AJ196">
        <v>8050011572</v>
      </c>
      <c r="AL196"/>
      <c r="AM196" t="s">
        <v>284</v>
      </c>
      <c r="AO196" s="234">
        <v>0</v>
      </c>
      <c r="AP196" s="232">
        <f t="shared" si="8"/>
        <v>5517667</v>
      </c>
      <c r="AQ196" s="230">
        <f t="shared" si="9"/>
        <v>2</v>
      </c>
    </row>
    <row r="197" spans="1:43" ht="14.4">
      <c r="A197" s="228">
        <v>1</v>
      </c>
      <c r="B197" s="229" t="s">
        <v>273</v>
      </c>
      <c r="C197" s="230" t="s">
        <v>280</v>
      </c>
      <c r="D197" s="231">
        <v>45716</v>
      </c>
      <c r="E197" s="231">
        <v>45716</v>
      </c>
      <c r="F197" s="230" t="s">
        <v>281</v>
      </c>
      <c r="G197" s="228" t="s">
        <v>275</v>
      </c>
      <c r="I197" s="230">
        <f t="shared" si="6"/>
        <v>196</v>
      </c>
      <c r="J197" s="228" t="s">
        <v>276</v>
      </c>
      <c r="K197" s="230">
        <v>1533010002</v>
      </c>
      <c r="T197" s="232">
        <v>-6226520</v>
      </c>
      <c r="U197" s="229" t="s">
        <v>277</v>
      </c>
      <c r="AC197" s="229" t="s">
        <v>278</v>
      </c>
      <c r="AF197" s="235">
        <v>20250228</v>
      </c>
      <c r="AI197" s="236">
        <f t="shared" si="7"/>
        <v>20250228</v>
      </c>
      <c r="AJ197">
        <v>8060083947</v>
      </c>
      <c r="AL197"/>
      <c r="AM197" t="s">
        <v>293</v>
      </c>
      <c r="AO197" s="234">
        <v>0</v>
      </c>
      <c r="AP197" s="232">
        <f t="shared" si="8"/>
        <v>6226520</v>
      </c>
      <c r="AQ197" s="230">
        <f t="shared" si="9"/>
        <v>2</v>
      </c>
    </row>
    <row r="198" spans="1:43" ht="14.4">
      <c r="A198" s="228">
        <v>1</v>
      </c>
      <c r="B198" s="229" t="s">
        <v>273</v>
      </c>
      <c r="C198" s="230" t="s">
        <v>280</v>
      </c>
      <c r="D198" s="231">
        <v>45716</v>
      </c>
      <c r="E198" s="231">
        <v>45716</v>
      </c>
      <c r="F198" s="230" t="s">
        <v>281</v>
      </c>
      <c r="G198" s="228" t="s">
        <v>275</v>
      </c>
      <c r="I198" s="230">
        <f t="shared" si="6"/>
        <v>197</v>
      </c>
      <c r="J198" s="228" t="s">
        <v>276</v>
      </c>
      <c r="K198" s="230">
        <v>1533010002</v>
      </c>
      <c r="T198" s="232">
        <v>-694389</v>
      </c>
      <c r="U198" s="229" t="s">
        <v>277</v>
      </c>
      <c r="AC198" s="229" t="s">
        <v>278</v>
      </c>
      <c r="AF198" s="235">
        <v>20250228</v>
      </c>
      <c r="AI198" s="236">
        <f t="shared" si="7"/>
        <v>20250228</v>
      </c>
      <c r="AJ198">
        <v>8140003371</v>
      </c>
      <c r="AL198"/>
      <c r="AM198" t="s">
        <v>285</v>
      </c>
      <c r="AO198" s="234" t="s">
        <v>82</v>
      </c>
      <c r="AP198" s="232">
        <f t="shared" si="8"/>
        <v>694389</v>
      </c>
      <c r="AQ198" s="230">
        <f t="shared" si="9"/>
        <v>2</v>
      </c>
    </row>
    <row r="199" spans="1:43" ht="14.4">
      <c r="A199" s="228">
        <v>1</v>
      </c>
      <c r="B199" s="229" t="s">
        <v>273</v>
      </c>
      <c r="C199" s="230" t="s">
        <v>280</v>
      </c>
      <c r="D199" s="231">
        <v>45716</v>
      </c>
      <c r="E199" s="231">
        <v>45716</v>
      </c>
      <c r="F199" s="230" t="s">
        <v>281</v>
      </c>
      <c r="G199" s="228" t="s">
        <v>275</v>
      </c>
      <c r="I199" s="230">
        <f t="shared" si="6"/>
        <v>198</v>
      </c>
      <c r="J199" s="228" t="s">
        <v>276</v>
      </c>
      <c r="K199" s="230">
        <v>1533010002</v>
      </c>
      <c r="T199" s="232">
        <v>-130002</v>
      </c>
      <c r="U199" s="229" t="s">
        <v>277</v>
      </c>
      <c r="AC199" s="229" t="s">
        <v>278</v>
      </c>
      <c r="AF199" s="235">
        <v>20250228</v>
      </c>
      <c r="AI199" s="236">
        <f t="shared" si="7"/>
        <v>20250228</v>
      </c>
      <c r="AJ199">
        <v>8170002483</v>
      </c>
      <c r="AL199"/>
      <c r="AM199" t="s">
        <v>311</v>
      </c>
      <c r="AO199" s="234">
        <v>0</v>
      </c>
      <c r="AP199" s="232">
        <f t="shared" si="8"/>
        <v>130002</v>
      </c>
      <c r="AQ199" s="230">
        <f t="shared" si="9"/>
        <v>2</v>
      </c>
    </row>
    <row r="200" spans="1:43" ht="14.4">
      <c r="A200" s="228">
        <v>1</v>
      </c>
      <c r="B200" s="229" t="s">
        <v>273</v>
      </c>
      <c r="C200" s="230" t="s">
        <v>280</v>
      </c>
      <c r="D200" s="231">
        <v>45716</v>
      </c>
      <c r="E200" s="231">
        <v>45716</v>
      </c>
      <c r="F200" s="230" t="s">
        <v>281</v>
      </c>
      <c r="G200" s="228" t="s">
        <v>275</v>
      </c>
      <c r="I200" s="230">
        <f t="shared" si="6"/>
        <v>199</v>
      </c>
      <c r="J200" s="228" t="s">
        <v>276</v>
      </c>
      <c r="K200" s="230">
        <v>1533010002</v>
      </c>
      <c r="T200" s="232">
        <v>-9250148</v>
      </c>
      <c r="U200" s="229" t="s">
        <v>277</v>
      </c>
      <c r="AC200" s="229" t="s">
        <v>278</v>
      </c>
      <c r="AF200" s="235">
        <v>20250228</v>
      </c>
      <c r="AI200" s="236">
        <f t="shared" si="7"/>
        <v>20250228</v>
      </c>
      <c r="AJ200">
        <v>8300035647</v>
      </c>
      <c r="AL200"/>
      <c r="AM200" t="s">
        <v>286</v>
      </c>
      <c r="AO200" s="234" t="s">
        <v>109</v>
      </c>
      <c r="AP200" s="232">
        <f t="shared" si="8"/>
        <v>9250148</v>
      </c>
      <c r="AQ200" s="230">
        <f t="shared" si="9"/>
        <v>2</v>
      </c>
    </row>
    <row r="201" spans="1:43" ht="14.4">
      <c r="A201" s="228">
        <v>1</v>
      </c>
      <c r="B201" s="229" t="s">
        <v>273</v>
      </c>
      <c r="C201" s="230" t="s">
        <v>280</v>
      </c>
      <c r="D201" s="231">
        <v>45716</v>
      </c>
      <c r="E201" s="231">
        <v>45716</v>
      </c>
      <c r="F201" s="230" t="s">
        <v>281</v>
      </c>
      <c r="G201" s="228" t="s">
        <v>275</v>
      </c>
      <c r="I201" s="230">
        <f t="shared" si="6"/>
        <v>200</v>
      </c>
      <c r="J201" s="228" t="s">
        <v>276</v>
      </c>
      <c r="K201" s="230">
        <v>1533010002</v>
      </c>
      <c r="T201" s="232">
        <v>-3666094</v>
      </c>
      <c r="U201" s="229" t="s">
        <v>277</v>
      </c>
      <c r="AC201" s="229" t="s">
        <v>278</v>
      </c>
      <c r="AF201" s="235">
        <v>20250228</v>
      </c>
      <c r="AI201" s="236">
        <f t="shared" si="7"/>
        <v>20250228</v>
      </c>
      <c r="AJ201">
        <v>8301138310</v>
      </c>
      <c r="AL201"/>
      <c r="AM201" s="230" t="s">
        <v>287</v>
      </c>
      <c r="AO201" s="234">
        <v>0</v>
      </c>
      <c r="AP201" s="232">
        <f t="shared" si="8"/>
        <v>3666094</v>
      </c>
      <c r="AQ201" s="230">
        <f t="shared" si="9"/>
        <v>2</v>
      </c>
    </row>
    <row r="202" spans="1:43" ht="14.4">
      <c r="A202" s="228">
        <v>1</v>
      </c>
      <c r="B202" s="229" t="s">
        <v>273</v>
      </c>
      <c r="C202" s="230" t="s">
        <v>280</v>
      </c>
      <c r="D202" s="231">
        <v>45716</v>
      </c>
      <c r="E202" s="231">
        <v>45716</v>
      </c>
      <c r="F202" s="230" t="s">
        <v>281</v>
      </c>
      <c r="G202" s="228" t="s">
        <v>275</v>
      </c>
      <c r="I202" s="230">
        <f t="shared" si="6"/>
        <v>201</v>
      </c>
      <c r="J202" s="228" t="s">
        <v>276</v>
      </c>
      <c r="K202" s="230">
        <v>1533010002</v>
      </c>
      <c r="T202" s="232">
        <v>-33934249</v>
      </c>
      <c r="U202" s="229" t="s">
        <v>277</v>
      </c>
      <c r="AC202" s="229" t="s">
        <v>278</v>
      </c>
      <c r="AF202" s="235">
        <v>20250228</v>
      </c>
      <c r="AI202" s="236">
        <f t="shared" si="7"/>
        <v>20250228</v>
      </c>
      <c r="AJ202">
        <v>8600021839</v>
      </c>
      <c r="AL202"/>
      <c r="AM202" t="s">
        <v>288</v>
      </c>
      <c r="AO202" s="234">
        <v>0</v>
      </c>
      <c r="AP202" s="232">
        <f t="shared" si="8"/>
        <v>33934249</v>
      </c>
      <c r="AQ202" s="230">
        <f t="shared" si="9"/>
        <v>2</v>
      </c>
    </row>
    <row r="203" spans="1:43" ht="14.4">
      <c r="A203" s="228">
        <v>1</v>
      </c>
      <c r="B203" s="229" t="s">
        <v>273</v>
      </c>
      <c r="C203" s="230" t="s">
        <v>280</v>
      </c>
      <c r="D203" s="231">
        <v>45716</v>
      </c>
      <c r="E203" s="231">
        <v>45716</v>
      </c>
      <c r="F203" s="230" t="s">
        <v>281</v>
      </c>
      <c r="G203" s="228" t="s">
        <v>275</v>
      </c>
      <c r="I203" s="230">
        <f t="shared" si="6"/>
        <v>202</v>
      </c>
      <c r="J203" s="228" t="s">
        <v>276</v>
      </c>
      <c r="K203" s="230">
        <v>1533010002</v>
      </c>
      <c r="T203" s="232">
        <v>-21605507</v>
      </c>
      <c r="U203" s="229" t="s">
        <v>277</v>
      </c>
      <c r="AC203" s="229" t="s">
        <v>278</v>
      </c>
      <c r="AF203" s="235">
        <v>20250228</v>
      </c>
      <c r="AI203" s="236">
        <f t="shared" si="7"/>
        <v>20250228</v>
      </c>
      <c r="AJ203">
        <v>8600669427</v>
      </c>
      <c r="AL203"/>
      <c r="AM203" t="s">
        <v>289</v>
      </c>
      <c r="AO203" s="234" t="s">
        <v>101</v>
      </c>
      <c r="AP203" s="232">
        <f t="shared" si="8"/>
        <v>21605507</v>
      </c>
      <c r="AQ203" s="230">
        <f t="shared" si="9"/>
        <v>2</v>
      </c>
    </row>
    <row r="204" spans="1:43" ht="14.4">
      <c r="A204" s="228">
        <v>1</v>
      </c>
      <c r="B204" s="229" t="s">
        <v>273</v>
      </c>
      <c r="C204" s="230" t="s">
        <v>280</v>
      </c>
      <c r="D204" s="231">
        <v>45716</v>
      </c>
      <c r="E204" s="231">
        <v>45716</v>
      </c>
      <c r="F204" s="230" t="s">
        <v>281</v>
      </c>
      <c r="G204" s="228" t="s">
        <v>275</v>
      </c>
      <c r="I204" s="230">
        <f t="shared" si="6"/>
        <v>203</v>
      </c>
      <c r="J204" s="228" t="s">
        <v>276</v>
      </c>
      <c r="K204" s="230">
        <v>1533010002</v>
      </c>
      <c r="T204" s="232">
        <v>-349600</v>
      </c>
      <c r="U204" s="229" t="s">
        <v>277</v>
      </c>
      <c r="AC204" s="229" t="s">
        <v>278</v>
      </c>
      <c r="AF204" s="235">
        <v>20250228</v>
      </c>
      <c r="AI204" s="236">
        <f t="shared" si="7"/>
        <v>20250228</v>
      </c>
      <c r="AJ204">
        <v>8902015787</v>
      </c>
      <c r="AL204"/>
      <c r="AM204" t="s">
        <v>289</v>
      </c>
      <c r="AO204" s="234">
        <v>0</v>
      </c>
      <c r="AP204" s="232">
        <f t="shared" si="8"/>
        <v>349600</v>
      </c>
      <c r="AQ204" s="230">
        <f t="shared" si="9"/>
        <v>2</v>
      </c>
    </row>
    <row r="205" spans="1:43" ht="14.4">
      <c r="A205" s="228">
        <v>1</v>
      </c>
      <c r="B205" s="229" t="s">
        <v>273</v>
      </c>
      <c r="C205" s="230" t="s">
        <v>280</v>
      </c>
      <c r="D205" s="231">
        <v>45716</v>
      </c>
      <c r="E205" s="231">
        <v>45716</v>
      </c>
      <c r="F205" s="230" t="s">
        <v>281</v>
      </c>
      <c r="G205" s="228" t="s">
        <v>275</v>
      </c>
      <c r="I205" s="230">
        <f t="shared" si="6"/>
        <v>204</v>
      </c>
      <c r="J205" s="228" t="s">
        <v>276</v>
      </c>
      <c r="K205" s="230">
        <v>1533010002</v>
      </c>
      <c r="T205" s="232">
        <v>-5460000</v>
      </c>
      <c r="U205" s="229" t="s">
        <v>277</v>
      </c>
      <c r="AC205" s="229" t="s">
        <v>278</v>
      </c>
      <c r="AF205" s="235">
        <v>20250228</v>
      </c>
      <c r="AI205" s="236">
        <f t="shared" si="7"/>
        <v>20250228</v>
      </c>
      <c r="AJ205">
        <v>8918560007</v>
      </c>
      <c r="AL205"/>
      <c r="AM205" t="s">
        <v>312</v>
      </c>
      <c r="AO205" s="234">
        <v>0</v>
      </c>
      <c r="AP205" s="232">
        <f t="shared" si="8"/>
        <v>5460000</v>
      </c>
      <c r="AQ205" s="230">
        <f t="shared" si="9"/>
        <v>2</v>
      </c>
    </row>
    <row r="206" spans="1:43" ht="14.4">
      <c r="A206" s="228">
        <v>1</v>
      </c>
      <c r="B206" s="229" t="s">
        <v>273</v>
      </c>
      <c r="C206" s="230" t="s">
        <v>280</v>
      </c>
      <c r="D206" s="231">
        <v>45716</v>
      </c>
      <c r="E206" s="231">
        <v>45716</v>
      </c>
      <c r="F206" s="230" t="s">
        <v>281</v>
      </c>
      <c r="G206" s="228" t="s">
        <v>275</v>
      </c>
      <c r="I206" s="230">
        <f t="shared" si="6"/>
        <v>205</v>
      </c>
      <c r="J206" s="228" t="s">
        <v>276</v>
      </c>
      <c r="K206" s="230">
        <v>1533010002</v>
      </c>
      <c r="T206" s="232">
        <v>-36999499</v>
      </c>
      <c r="U206" s="229" t="s">
        <v>277</v>
      </c>
      <c r="AC206" s="229" t="s">
        <v>278</v>
      </c>
      <c r="AF206" s="235">
        <v>20250228</v>
      </c>
      <c r="AI206" s="236">
        <f t="shared" si="7"/>
        <v>20250228</v>
      </c>
      <c r="AJ206">
        <v>9001562642</v>
      </c>
      <c r="AL206"/>
      <c r="AM206" t="s">
        <v>290</v>
      </c>
      <c r="AO206" s="234" t="s">
        <v>111</v>
      </c>
      <c r="AP206" s="232">
        <f t="shared" si="8"/>
        <v>36999499</v>
      </c>
      <c r="AQ206" s="230">
        <f t="shared" si="9"/>
        <v>2</v>
      </c>
    </row>
    <row r="207" spans="1:43" ht="14.4">
      <c r="A207" s="228">
        <v>1</v>
      </c>
      <c r="B207" s="229" t="s">
        <v>273</v>
      </c>
      <c r="C207" s="230" t="s">
        <v>280</v>
      </c>
      <c r="D207" s="231">
        <v>45716</v>
      </c>
      <c r="E207" s="231">
        <v>45716</v>
      </c>
      <c r="F207" s="230" t="s">
        <v>281</v>
      </c>
      <c r="G207" s="228" t="s">
        <v>275</v>
      </c>
      <c r="I207" s="230">
        <f t="shared" si="6"/>
        <v>206</v>
      </c>
      <c r="J207" s="228" t="s">
        <v>276</v>
      </c>
      <c r="K207" s="230">
        <v>1533010002</v>
      </c>
      <c r="T207" s="232">
        <v>-5460000</v>
      </c>
      <c r="U207" s="229" t="s">
        <v>277</v>
      </c>
      <c r="AC207" s="229" t="s">
        <v>278</v>
      </c>
      <c r="AF207" s="235">
        <v>20250228</v>
      </c>
      <c r="AI207" s="236">
        <f t="shared" si="7"/>
        <v>20250228</v>
      </c>
      <c r="AJ207">
        <v>9002983729</v>
      </c>
      <c r="AL207"/>
      <c r="AM207" t="s">
        <v>294</v>
      </c>
      <c r="AO207" s="234">
        <v>0</v>
      </c>
      <c r="AP207" s="232">
        <f t="shared" si="8"/>
        <v>5460000</v>
      </c>
      <c r="AQ207" s="230">
        <f t="shared" si="9"/>
        <v>2</v>
      </c>
    </row>
    <row r="208" spans="1:43" ht="14.4">
      <c r="A208" s="228">
        <v>1</v>
      </c>
      <c r="B208" s="229" t="s">
        <v>273</v>
      </c>
      <c r="C208" s="230" t="s">
        <v>280</v>
      </c>
      <c r="D208" s="231">
        <v>45716</v>
      </c>
      <c r="E208" s="231">
        <v>45716</v>
      </c>
      <c r="F208" s="230" t="s">
        <v>281</v>
      </c>
      <c r="G208" s="228" t="s">
        <v>275</v>
      </c>
      <c r="I208" s="230">
        <f t="shared" si="6"/>
        <v>207</v>
      </c>
      <c r="J208" s="228" t="s">
        <v>276</v>
      </c>
      <c r="K208" s="230">
        <v>1533010002</v>
      </c>
      <c r="T208" s="232">
        <v>-224124</v>
      </c>
      <c r="U208" s="229" t="s">
        <v>277</v>
      </c>
      <c r="AC208" s="229" t="s">
        <v>278</v>
      </c>
      <c r="AF208" s="235">
        <v>20250228</v>
      </c>
      <c r="AI208" s="236">
        <f t="shared" si="7"/>
        <v>20250228</v>
      </c>
      <c r="AJ208">
        <v>9006043500</v>
      </c>
      <c r="AL208"/>
      <c r="AM208" t="s">
        <v>295</v>
      </c>
      <c r="AO208" s="234">
        <v>0</v>
      </c>
      <c r="AP208" s="232">
        <f t="shared" si="8"/>
        <v>224124</v>
      </c>
      <c r="AQ208" s="230">
        <f t="shared" si="9"/>
        <v>2</v>
      </c>
    </row>
    <row r="209" spans="1:43" ht="14.4">
      <c r="A209" s="228">
        <v>1</v>
      </c>
      <c r="B209" s="229" t="s">
        <v>273</v>
      </c>
      <c r="C209" s="230" t="s">
        <v>280</v>
      </c>
      <c r="D209" s="231">
        <v>45716</v>
      </c>
      <c r="E209" s="231">
        <v>45716</v>
      </c>
      <c r="F209" s="230" t="s">
        <v>281</v>
      </c>
      <c r="G209" s="228" t="s">
        <v>275</v>
      </c>
      <c r="I209" s="230">
        <f t="shared" si="6"/>
        <v>208</v>
      </c>
      <c r="J209" s="228" t="s">
        <v>276</v>
      </c>
      <c r="K209" s="230">
        <v>1533010002</v>
      </c>
      <c r="T209" s="232">
        <v>-319802</v>
      </c>
      <c r="U209" s="229" t="s">
        <v>277</v>
      </c>
      <c r="AC209" s="229" t="s">
        <v>278</v>
      </c>
      <c r="AF209" s="235">
        <v>20250228</v>
      </c>
      <c r="AI209" s="236">
        <f t="shared" si="7"/>
        <v>20250228</v>
      </c>
      <c r="AJ209">
        <v>9009142541</v>
      </c>
      <c r="AL209"/>
      <c r="AM209" t="s">
        <v>296</v>
      </c>
      <c r="AO209" s="234">
        <v>0</v>
      </c>
      <c r="AP209" s="232">
        <f t="shared" si="8"/>
        <v>319802</v>
      </c>
      <c r="AQ209" s="230">
        <f t="shared" si="9"/>
        <v>2</v>
      </c>
    </row>
    <row r="210" spans="1:43" ht="14.4">
      <c r="A210" s="237">
        <v>1</v>
      </c>
      <c r="B210" s="238" t="s">
        <v>273</v>
      </c>
      <c r="C210" s="239" t="s">
        <v>280</v>
      </c>
      <c r="D210" s="231">
        <v>45716</v>
      </c>
      <c r="E210" s="231">
        <v>45716</v>
      </c>
      <c r="F210" s="239" t="s">
        <v>281</v>
      </c>
      <c r="G210" s="237" t="s">
        <v>275</v>
      </c>
      <c r="H210" s="239"/>
      <c r="I210" s="230">
        <f t="shared" si="6"/>
        <v>209</v>
      </c>
      <c r="J210" s="237" t="s">
        <v>276</v>
      </c>
      <c r="K210" s="239">
        <v>1533010002</v>
      </c>
      <c r="L210" s="239"/>
      <c r="M210" s="239"/>
      <c r="N210" s="239"/>
      <c r="O210" s="239"/>
      <c r="P210" s="239"/>
      <c r="Q210" s="239"/>
      <c r="R210" s="239"/>
      <c r="S210" s="239"/>
      <c r="T210" s="240">
        <v>-41238</v>
      </c>
      <c r="U210" s="238" t="s">
        <v>277</v>
      </c>
      <c r="V210" s="239"/>
      <c r="W210" s="239"/>
      <c r="X210" s="239"/>
      <c r="Y210" s="239"/>
      <c r="Z210" s="239"/>
      <c r="AA210" s="239"/>
      <c r="AB210" s="238"/>
      <c r="AC210" s="238" t="s">
        <v>278</v>
      </c>
      <c r="AD210" s="239"/>
      <c r="AE210" s="239"/>
      <c r="AF210" s="235">
        <v>20250228</v>
      </c>
      <c r="AG210" s="239"/>
      <c r="AH210" s="239"/>
      <c r="AI210" s="236">
        <f t="shared" si="7"/>
        <v>20250228</v>
      </c>
      <c r="AJ210" s="241">
        <v>8909049961</v>
      </c>
      <c r="AK210" s="239"/>
      <c r="AL210" s="241"/>
      <c r="AM210" s="239" t="s">
        <v>216</v>
      </c>
      <c r="AN210" s="239"/>
      <c r="AO210" s="234">
        <v>0</v>
      </c>
      <c r="AP210" s="232">
        <f t="shared" si="8"/>
        <v>41238</v>
      </c>
      <c r="AQ210" s="230">
        <f t="shared" si="9"/>
        <v>2</v>
      </c>
    </row>
    <row r="211" spans="1:43" s="246" customFormat="1" ht="14.4">
      <c r="A211" s="242">
        <v>1</v>
      </c>
      <c r="B211" s="243" t="s">
        <v>273</v>
      </c>
      <c r="C211" s="244" t="s">
        <v>280</v>
      </c>
      <c r="D211" s="245">
        <v>45747</v>
      </c>
      <c r="E211" s="245">
        <v>45747</v>
      </c>
      <c r="F211" s="244" t="s">
        <v>281</v>
      </c>
      <c r="G211" s="242" t="s">
        <v>275</v>
      </c>
      <c r="H211" s="244"/>
      <c r="I211" s="246">
        <v>2</v>
      </c>
      <c r="J211" s="242" t="s">
        <v>276</v>
      </c>
      <c r="K211" s="244">
        <v>1533010002</v>
      </c>
      <c r="L211" s="244"/>
      <c r="M211" s="244"/>
      <c r="N211" s="244"/>
      <c r="O211" s="244"/>
      <c r="P211" s="244"/>
      <c r="Q211" s="244"/>
      <c r="R211" s="244"/>
      <c r="S211" s="244"/>
      <c r="T211" s="247">
        <v>691310</v>
      </c>
      <c r="U211" s="243" t="s">
        <v>277</v>
      </c>
      <c r="V211" s="244"/>
      <c r="W211" s="244"/>
      <c r="X211" s="244"/>
      <c r="Y211" s="244"/>
      <c r="Z211" s="244"/>
      <c r="AA211" s="244"/>
      <c r="AB211" s="243"/>
      <c r="AC211" s="243" t="s">
        <v>278</v>
      </c>
      <c r="AD211" s="244"/>
      <c r="AE211" s="244"/>
      <c r="AF211" s="248">
        <v>20250331</v>
      </c>
      <c r="AG211" s="244"/>
      <c r="AH211" s="244"/>
      <c r="AI211" s="249">
        <v>20250331</v>
      </c>
      <c r="AJ211" s="250">
        <v>8600669427</v>
      </c>
      <c r="AK211" s="244"/>
      <c r="AL211" s="250"/>
      <c r="AM211" s="244" t="s">
        <v>289</v>
      </c>
      <c r="AN211" s="244"/>
      <c r="AO211" s="234" t="s">
        <v>101</v>
      </c>
      <c r="AP211" s="232">
        <f t="shared" si="8"/>
        <v>691310</v>
      </c>
      <c r="AQ211" s="230">
        <f t="shared" si="9"/>
        <v>3</v>
      </c>
    </row>
    <row r="212" spans="1:43" s="246" customFormat="1" ht="14.4">
      <c r="A212" s="242">
        <v>1</v>
      </c>
      <c r="B212" s="243" t="s">
        <v>273</v>
      </c>
      <c r="C212" s="244" t="s">
        <v>280</v>
      </c>
      <c r="D212" s="245">
        <v>45747</v>
      </c>
      <c r="E212" s="245">
        <v>45747</v>
      </c>
      <c r="F212" s="244" t="s">
        <v>281</v>
      </c>
      <c r="G212" s="242" t="s">
        <v>275</v>
      </c>
      <c r="H212" s="244"/>
      <c r="I212" s="246">
        <v>4</v>
      </c>
      <c r="J212" s="242" t="s">
        <v>276</v>
      </c>
      <c r="K212" s="244">
        <v>1533010002</v>
      </c>
      <c r="L212" s="244"/>
      <c r="M212" s="244"/>
      <c r="N212" s="244"/>
      <c r="O212" s="244"/>
      <c r="P212" s="244"/>
      <c r="Q212" s="244"/>
      <c r="R212" s="244"/>
      <c r="S212" s="244"/>
      <c r="T212" s="247">
        <v>224700</v>
      </c>
      <c r="U212" s="243" t="s">
        <v>277</v>
      </c>
      <c r="V212" s="244"/>
      <c r="W212" s="244"/>
      <c r="X212" s="244"/>
      <c r="Y212" s="244"/>
      <c r="Z212" s="244"/>
      <c r="AA212" s="244"/>
      <c r="AB212" s="243"/>
      <c r="AC212" s="243" t="s">
        <v>278</v>
      </c>
      <c r="AD212" s="244"/>
      <c r="AE212" s="244"/>
      <c r="AF212" s="248">
        <v>20250331</v>
      </c>
      <c r="AG212" s="244"/>
      <c r="AH212" s="244"/>
      <c r="AI212" s="249">
        <v>20250331</v>
      </c>
      <c r="AJ212" s="250">
        <v>8600669427</v>
      </c>
      <c r="AK212" s="244"/>
      <c r="AL212" s="250"/>
      <c r="AM212" s="244" t="s">
        <v>300</v>
      </c>
      <c r="AN212" s="244"/>
      <c r="AO212" s="234" t="s">
        <v>101</v>
      </c>
      <c r="AP212" s="232">
        <f t="shared" si="8"/>
        <v>224700</v>
      </c>
      <c r="AQ212" s="230">
        <f t="shared" si="9"/>
        <v>3</v>
      </c>
    </row>
    <row r="213" spans="1:43" s="246" customFormat="1" ht="14.4">
      <c r="A213" s="242">
        <v>1</v>
      </c>
      <c r="B213" s="243" t="s">
        <v>273</v>
      </c>
      <c r="C213" s="244" t="s">
        <v>280</v>
      </c>
      <c r="D213" s="245">
        <v>45747</v>
      </c>
      <c r="E213" s="245">
        <v>45747</v>
      </c>
      <c r="F213" s="244" t="s">
        <v>281</v>
      </c>
      <c r="G213" s="242" t="s">
        <v>275</v>
      </c>
      <c r="H213" s="244"/>
      <c r="I213" s="246">
        <v>6</v>
      </c>
      <c r="J213" s="242" t="s">
        <v>276</v>
      </c>
      <c r="K213" s="244">
        <v>1533010002</v>
      </c>
      <c r="L213" s="244"/>
      <c r="M213" s="244"/>
      <c r="N213" s="244"/>
      <c r="O213" s="244"/>
      <c r="P213" s="244"/>
      <c r="Q213" s="244"/>
      <c r="R213" s="244"/>
      <c r="S213" s="244"/>
      <c r="T213" s="247">
        <v>349600</v>
      </c>
      <c r="U213" s="243" t="s">
        <v>277</v>
      </c>
      <c r="V213" s="244"/>
      <c r="W213" s="244"/>
      <c r="X213" s="244"/>
      <c r="Y213" s="244"/>
      <c r="Z213" s="244"/>
      <c r="AA213" s="244"/>
      <c r="AB213" s="243"/>
      <c r="AC213" s="243" t="s">
        <v>278</v>
      </c>
      <c r="AD213" s="244"/>
      <c r="AE213" s="244"/>
      <c r="AF213" s="248">
        <v>20250331</v>
      </c>
      <c r="AG213" s="244"/>
      <c r="AH213" s="244"/>
      <c r="AI213" s="249">
        <v>20250331</v>
      </c>
      <c r="AJ213" s="250">
        <v>8902015787</v>
      </c>
      <c r="AK213" s="244"/>
      <c r="AL213" s="250"/>
      <c r="AM213" s="244" t="s">
        <v>289</v>
      </c>
      <c r="AN213" s="244"/>
      <c r="AO213" s="234">
        <v>0</v>
      </c>
      <c r="AP213" s="232">
        <f t="shared" si="8"/>
        <v>349600</v>
      </c>
      <c r="AQ213" s="230">
        <f t="shared" si="9"/>
        <v>3</v>
      </c>
    </row>
    <row r="214" spans="1:43" s="246" customFormat="1" ht="14.4">
      <c r="A214" s="242">
        <v>1</v>
      </c>
      <c r="B214" s="243" t="s">
        <v>273</v>
      </c>
      <c r="C214" s="244" t="s">
        <v>280</v>
      </c>
      <c r="D214" s="245">
        <v>45747</v>
      </c>
      <c r="E214" s="245">
        <v>45747</v>
      </c>
      <c r="F214" s="244" t="s">
        <v>281</v>
      </c>
      <c r="G214" s="242" t="s">
        <v>275</v>
      </c>
      <c r="H214" s="244"/>
      <c r="I214" s="246">
        <v>8</v>
      </c>
      <c r="J214" s="242" t="s">
        <v>276</v>
      </c>
      <c r="K214" s="244">
        <v>1533010002</v>
      </c>
      <c r="L214" s="244"/>
      <c r="M214" s="244"/>
      <c r="N214" s="244"/>
      <c r="O214" s="244"/>
      <c r="P214" s="244"/>
      <c r="Q214" s="244"/>
      <c r="R214" s="244"/>
      <c r="S214" s="244"/>
      <c r="T214" s="247">
        <v>-29267591</v>
      </c>
      <c r="U214" s="243" t="s">
        <v>277</v>
      </c>
      <c r="V214" s="244"/>
      <c r="W214" s="244"/>
      <c r="X214" s="244"/>
      <c r="Y214" s="244"/>
      <c r="Z214" s="244"/>
      <c r="AA214" s="244"/>
      <c r="AB214" s="243"/>
      <c r="AC214" s="243" t="s">
        <v>278</v>
      </c>
      <c r="AD214" s="244"/>
      <c r="AE214" s="244"/>
      <c r="AF214" s="248">
        <v>20250331</v>
      </c>
      <c r="AG214" s="244"/>
      <c r="AH214" s="244"/>
      <c r="AI214" s="249">
        <v>20250331</v>
      </c>
      <c r="AJ214" s="250">
        <v>42162384</v>
      </c>
      <c r="AK214" s="244"/>
      <c r="AL214" s="250"/>
      <c r="AM214" s="244" t="s">
        <v>313</v>
      </c>
      <c r="AN214" s="244"/>
      <c r="AO214" s="234">
        <v>0</v>
      </c>
      <c r="AP214" s="232">
        <f t="shared" si="8"/>
        <v>29267591</v>
      </c>
      <c r="AQ214" s="230">
        <f t="shared" si="9"/>
        <v>3</v>
      </c>
    </row>
    <row r="215" spans="1:43" s="246" customFormat="1" ht="14.4">
      <c r="A215" s="242">
        <v>1</v>
      </c>
      <c r="B215" s="243" t="s">
        <v>273</v>
      </c>
      <c r="C215" s="244" t="s">
        <v>280</v>
      </c>
      <c r="D215" s="245">
        <v>45747</v>
      </c>
      <c r="E215" s="245">
        <v>45747</v>
      </c>
      <c r="F215" s="244" t="s">
        <v>281</v>
      </c>
      <c r="G215" s="242" t="s">
        <v>275</v>
      </c>
      <c r="H215" s="244"/>
      <c r="I215" s="246">
        <v>79</v>
      </c>
      <c r="J215" s="242" t="s">
        <v>276</v>
      </c>
      <c r="K215" s="244">
        <v>1533010002</v>
      </c>
      <c r="L215" s="244"/>
      <c r="M215" s="244"/>
      <c r="N215" s="244"/>
      <c r="O215" s="244"/>
      <c r="P215" s="244"/>
      <c r="Q215" s="244"/>
      <c r="R215" s="244"/>
      <c r="S215" s="244"/>
      <c r="T215" s="247">
        <v>-1457932</v>
      </c>
      <c r="U215" s="243" t="s">
        <v>277</v>
      </c>
      <c r="V215" s="244"/>
      <c r="W215" s="244"/>
      <c r="X215" s="244"/>
      <c r="Y215" s="244"/>
      <c r="Z215" s="244"/>
      <c r="AA215" s="244"/>
      <c r="AB215" s="243"/>
      <c r="AC215" s="243" t="s">
        <v>278</v>
      </c>
      <c r="AD215" s="244"/>
      <c r="AE215" s="244"/>
      <c r="AF215" s="248">
        <v>20250331</v>
      </c>
      <c r="AG215" s="244"/>
      <c r="AH215" s="244"/>
      <c r="AI215" s="249">
        <v>20250331</v>
      </c>
      <c r="AJ215" s="250"/>
      <c r="AK215" s="244">
        <v>8301138310</v>
      </c>
      <c r="AL215" s="250"/>
      <c r="AM215" s="244" t="s">
        <v>287</v>
      </c>
      <c r="AN215" s="244"/>
      <c r="AO215" s="234">
        <v>0</v>
      </c>
      <c r="AP215" s="232">
        <f t="shared" si="8"/>
        <v>1457932</v>
      </c>
      <c r="AQ215" s="230">
        <f t="shared" si="9"/>
        <v>3</v>
      </c>
    </row>
    <row r="216" spans="1:43" s="246" customFormat="1" ht="14.4">
      <c r="A216" s="242">
        <v>1</v>
      </c>
      <c r="B216" s="243" t="s">
        <v>273</v>
      </c>
      <c r="C216" s="244" t="s">
        <v>280</v>
      </c>
      <c r="D216" s="245">
        <v>45747</v>
      </c>
      <c r="E216" s="245">
        <v>45747</v>
      </c>
      <c r="F216" s="244" t="s">
        <v>281</v>
      </c>
      <c r="G216" s="242" t="s">
        <v>275</v>
      </c>
      <c r="H216" s="244"/>
      <c r="I216" s="246">
        <v>80</v>
      </c>
      <c r="J216" s="242" t="s">
        <v>276</v>
      </c>
      <c r="K216" s="244">
        <v>1533010002</v>
      </c>
      <c r="L216" s="244"/>
      <c r="M216" s="244"/>
      <c r="N216" s="244"/>
      <c r="O216" s="244"/>
      <c r="P216" s="244"/>
      <c r="Q216" s="244"/>
      <c r="R216" s="244"/>
      <c r="S216" s="244"/>
      <c r="T216" s="247">
        <v>-1735144</v>
      </c>
      <c r="U216" s="243" t="s">
        <v>277</v>
      </c>
      <c r="V216" s="244"/>
      <c r="W216" s="244"/>
      <c r="X216" s="244"/>
      <c r="Y216" s="244"/>
      <c r="Z216" s="244"/>
      <c r="AA216" s="244"/>
      <c r="AB216" s="243"/>
      <c r="AC216" s="243" t="s">
        <v>278</v>
      </c>
      <c r="AD216" s="244"/>
      <c r="AE216" s="244"/>
      <c r="AF216" s="248">
        <v>20250331</v>
      </c>
      <c r="AG216" s="244"/>
      <c r="AH216" s="244"/>
      <c r="AI216" s="249">
        <v>20250331</v>
      </c>
      <c r="AJ216" s="250"/>
      <c r="AK216" s="244">
        <v>8600021839</v>
      </c>
      <c r="AL216" s="250"/>
      <c r="AM216" s="244" t="s">
        <v>288</v>
      </c>
      <c r="AN216" s="244"/>
      <c r="AO216" s="234">
        <v>0</v>
      </c>
      <c r="AP216" s="232">
        <f t="shared" si="8"/>
        <v>1735144</v>
      </c>
      <c r="AQ216" s="230">
        <f t="shared" si="9"/>
        <v>3</v>
      </c>
    </row>
    <row r="217" spans="1:43" s="246" customFormat="1" ht="14.4">
      <c r="A217" s="242">
        <v>1</v>
      </c>
      <c r="B217" s="243" t="s">
        <v>273</v>
      </c>
      <c r="C217" s="244" t="s">
        <v>280</v>
      </c>
      <c r="D217" s="245">
        <v>45747</v>
      </c>
      <c r="E217" s="245">
        <v>45747</v>
      </c>
      <c r="F217" s="244" t="s">
        <v>281</v>
      </c>
      <c r="G217" s="242" t="s">
        <v>275</v>
      </c>
      <c r="H217" s="244"/>
      <c r="I217" s="246">
        <v>81</v>
      </c>
      <c r="J217" s="242" t="s">
        <v>276</v>
      </c>
      <c r="K217" s="244">
        <v>1533010002</v>
      </c>
      <c r="L217" s="244"/>
      <c r="M217" s="244"/>
      <c r="N217" s="244"/>
      <c r="O217" s="244"/>
      <c r="P217" s="244"/>
      <c r="Q217" s="244"/>
      <c r="R217" s="244"/>
      <c r="S217" s="244"/>
      <c r="T217" s="247">
        <v>-86667</v>
      </c>
      <c r="U217" s="243" t="s">
        <v>277</v>
      </c>
      <c r="V217" s="244"/>
      <c r="W217" s="244"/>
      <c r="X217" s="244"/>
      <c r="Y217" s="244"/>
      <c r="Z217" s="244"/>
      <c r="AA217" s="244"/>
      <c r="AB217" s="243"/>
      <c r="AC217" s="243" t="s">
        <v>278</v>
      </c>
      <c r="AD217" s="244"/>
      <c r="AE217" s="244"/>
      <c r="AF217" s="248">
        <v>20250331</v>
      </c>
      <c r="AG217" s="244"/>
      <c r="AH217" s="244"/>
      <c r="AI217" s="249">
        <v>20250331</v>
      </c>
      <c r="AJ217" s="250"/>
      <c r="AK217" s="244">
        <v>8002492410</v>
      </c>
      <c r="AL217" s="250"/>
      <c r="AM217" s="244" t="s">
        <v>297</v>
      </c>
      <c r="AN217" s="244"/>
      <c r="AO217" s="234">
        <v>0</v>
      </c>
      <c r="AP217" s="232">
        <f t="shared" si="8"/>
        <v>86667</v>
      </c>
      <c r="AQ217" s="230">
        <f t="shared" si="9"/>
        <v>3</v>
      </c>
    </row>
    <row r="218" spans="1:43" s="246" customFormat="1" ht="14.4">
      <c r="A218" s="242">
        <v>1</v>
      </c>
      <c r="B218" s="243" t="s">
        <v>273</v>
      </c>
      <c r="C218" s="244" t="s">
        <v>280</v>
      </c>
      <c r="D218" s="245">
        <v>45747</v>
      </c>
      <c r="E218" s="245">
        <v>45747</v>
      </c>
      <c r="F218" s="244" t="s">
        <v>281</v>
      </c>
      <c r="G218" s="242" t="s">
        <v>275</v>
      </c>
      <c r="H218" s="244"/>
      <c r="I218" s="246">
        <v>82</v>
      </c>
      <c r="J218" s="242" t="s">
        <v>276</v>
      </c>
      <c r="K218" s="244">
        <v>1533010002</v>
      </c>
      <c r="L218" s="244"/>
      <c r="M218" s="244"/>
      <c r="N218" s="244"/>
      <c r="O218" s="244"/>
      <c r="P218" s="244"/>
      <c r="Q218" s="244"/>
      <c r="R218" s="244"/>
      <c r="S218" s="244"/>
      <c r="T218" s="247">
        <v>-526146</v>
      </c>
      <c r="U218" s="243" t="s">
        <v>277</v>
      </c>
      <c r="V218" s="244"/>
      <c r="W218" s="244"/>
      <c r="X218" s="244"/>
      <c r="Y218" s="244"/>
      <c r="Z218" s="244"/>
      <c r="AA218" s="244"/>
      <c r="AB218" s="243"/>
      <c r="AC218" s="243" t="s">
        <v>278</v>
      </c>
      <c r="AD218" s="244"/>
      <c r="AE218" s="244"/>
      <c r="AF218" s="248">
        <v>20250331</v>
      </c>
      <c r="AG218" s="244"/>
      <c r="AH218" s="244"/>
      <c r="AI218" s="249">
        <v>20250331</v>
      </c>
      <c r="AJ218" s="250"/>
      <c r="AK218" s="244">
        <v>8301138310</v>
      </c>
      <c r="AL218" s="250"/>
      <c r="AM218" s="244" t="s">
        <v>287</v>
      </c>
      <c r="AN218" s="244"/>
      <c r="AO218" s="234">
        <v>0</v>
      </c>
      <c r="AP218" s="232">
        <f t="shared" si="8"/>
        <v>526146</v>
      </c>
      <c r="AQ218" s="230">
        <f t="shared" si="9"/>
        <v>3</v>
      </c>
    </row>
    <row r="219" spans="1:43" s="246" customFormat="1" ht="14.4">
      <c r="A219" s="242">
        <v>1</v>
      </c>
      <c r="B219" s="243" t="s">
        <v>273</v>
      </c>
      <c r="C219" s="244" t="s">
        <v>280</v>
      </c>
      <c r="D219" s="245">
        <v>45747</v>
      </c>
      <c r="E219" s="245">
        <v>45747</v>
      </c>
      <c r="F219" s="244" t="s">
        <v>281</v>
      </c>
      <c r="G219" s="242" t="s">
        <v>275</v>
      </c>
      <c r="H219" s="244"/>
      <c r="I219" s="246">
        <v>83</v>
      </c>
      <c r="J219" s="242" t="s">
        <v>276</v>
      </c>
      <c r="K219" s="244">
        <v>1533010002</v>
      </c>
      <c r="L219" s="244"/>
      <c r="M219" s="244"/>
      <c r="N219" s="244"/>
      <c r="O219" s="244"/>
      <c r="P219" s="244"/>
      <c r="Q219" s="244"/>
      <c r="R219" s="244"/>
      <c r="S219" s="244"/>
      <c r="T219" s="247">
        <v>-674268</v>
      </c>
      <c r="U219" s="243" t="s">
        <v>277</v>
      </c>
      <c r="V219" s="244"/>
      <c r="W219" s="244"/>
      <c r="X219" s="244"/>
      <c r="Y219" s="244"/>
      <c r="Z219" s="244"/>
      <c r="AA219" s="244"/>
      <c r="AB219" s="243"/>
      <c r="AC219" s="243" t="s">
        <v>278</v>
      </c>
      <c r="AD219" s="244"/>
      <c r="AE219" s="244"/>
      <c r="AF219" s="248">
        <v>20250331</v>
      </c>
      <c r="AG219" s="244"/>
      <c r="AH219" s="244"/>
      <c r="AI219" s="249">
        <v>20250331</v>
      </c>
      <c r="AJ219" s="250"/>
      <c r="AK219" s="244">
        <v>8300035647</v>
      </c>
      <c r="AL219" s="250"/>
      <c r="AM219" s="244" t="s">
        <v>286</v>
      </c>
      <c r="AN219" s="244"/>
      <c r="AO219" s="234">
        <v>0</v>
      </c>
      <c r="AP219" s="232">
        <f t="shared" si="8"/>
        <v>674268</v>
      </c>
      <c r="AQ219" s="230">
        <f t="shared" si="9"/>
        <v>3</v>
      </c>
    </row>
    <row r="220" spans="1:43" s="246" customFormat="1" ht="14.4">
      <c r="A220" s="242">
        <v>1</v>
      </c>
      <c r="B220" s="243" t="s">
        <v>273</v>
      </c>
      <c r="C220" s="244" t="s">
        <v>280</v>
      </c>
      <c r="D220" s="245">
        <v>45747</v>
      </c>
      <c r="E220" s="245">
        <v>45747</v>
      </c>
      <c r="F220" s="244" t="s">
        <v>281</v>
      </c>
      <c r="G220" s="242" t="s">
        <v>275</v>
      </c>
      <c r="H220" s="244"/>
      <c r="I220" s="246">
        <v>84</v>
      </c>
      <c r="J220" s="242" t="s">
        <v>276</v>
      </c>
      <c r="K220" s="244">
        <v>1533010002</v>
      </c>
      <c r="L220" s="244"/>
      <c r="M220" s="244"/>
      <c r="N220" s="244"/>
      <c r="O220" s="244"/>
      <c r="P220" s="244"/>
      <c r="Q220" s="244"/>
      <c r="R220" s="244"/>
      <c r="S220" s="244"/>
      <c r="T220" s="247">
        <v>-1065662</v>
      </c>
      <c r="U220" s="243" t="s">
        <v>277</v>
      </c>
      <c r="V220" s="244"/>
      <c r="W220" s="244"/>
      <c r="X220" s="244"/>
      <c r="Y220" s="244"/>
      <c r="Z220" s="244"/>
      <c r="AA220" s="244"/>
      <c r="AB220" s="243"/>
      <c r="AC220" s="243" t="s">
        <v>278</v>
      </c>
      <c r="AD220" s="244"/>
      <c r="AE220" s="244"/>
      <c r="AF220" s="248">
        <v>20250331</v>
      </c>
      <c r="AG220" s="244"/>
      <c r="AH220" s="244"/>
      <c r="AI220" s="249">
        <v>20250331</v>
      </c>
      <c r="AJ220" s="250"/>
      <c r="AK220" s="244">
        <v>8600669427</v>
      </c>
      <c r="AL220" s="250"/>
      <c r="AM220" s="244" t="s">
        <v>289</v>
      </c>
      <c r="AN220" s="244"/>
      <c r="AO220" s="234">
        <v>0</v>
      </c>
      <c r="AP220" s="232">
        <f t="shared" si="8"/>
        <v>1065662</v>
      </c>
      <c r="AQ220" s="230">
        <f t="shared" si="9"/>
        <v>3</v>
      </c>
    </row>
    <row r="221" spans="1:43" s="246" customFormat="1" ht="14.4">
      <c r="A221" s="242">
        <v>1</v>
      </c>
      <c r="B221" s="243" t="s">
        <v>273</v>
      </c>
      <c r="C221" s="244" t="s">
        <v>280</v>
      </c>
      <c r="D221" s="245">
        <v>45747</v>
      </c>
      <c r="E221" s="245">
        <v>45747</v>
      </c>
      <c r="F221" s="244" t="s">
        <v>281</v>
      </c>
      <c r="G221" s="242" t="s">
        <v>275</v>
      </c>
      <c r="H221" s="244"/>
      <c r="I221" s="246">
        <v>85</v>
      </c>
      <c r="J221" s="242" t="s">
        <v>276</v>
      </c>
      <c r="K221" s="244">
        <v>1533010002</v>
      </c>
      <c r="L221" s="244"/>
      <c r="M221" s="244"/>
      <c r="N221" s="244"/>
      <c r="O221" s="244"/>
      <c r="P221" s="244"/>
      <c r="Q221" s="244"/>
      <c r="R221" s="244"/>
      <c r="S221" s="244"/>
      <c r="T221" s="247">
        <v>-773312</v>
      </c>
      <c r="U221" s="243" t="s">
        <v>277</v>
      </c>
      <c r="V221" s="244"/>
      <c r="W221" s="244"/>
      <c r="X221" s="244"/>
      <c r="Y221" s="244"/>
      <c r="Z221" s="244"/>
      <c r="AA221" s="244"/>
      <c r="AB221" s="243"/>
      <c r="AC221" s="243" t="s">
        <v>278</v>
      </c>
      <c r="AD221" s="244"/>
      <c r="AE221" s="244"/>
      <c r="AF221" s="248">
        <v>20250331</v>
      </c>
      <c r="AG221" s="244"/>
      <c r="AH221" s="244"/>
      <c r="AI221" s="249">
        <v>20250331</v>
      </c>
      <c r="AJ221" s="250"/>
      <c r="AK221" s="244">
        <v>8002514406</v>
      </c>
      <c r="AL221" s="250"/>
      <c r="AM221" s="244" t="s">
        <v>283</v>
      </c>
      <c r="AN221" s="244"/>
      <c r="AO221" s="234">
        <v>0</v>
      </c>
      <c r="AP221" s="232">
        <f t="shared" si="8"/>
        <v>773312</v>
      </c>
      <c r="AQ221" s="230">
        <f t="shared" si="9"/>
        <v>3</v>
      </c>
    </row>
    <row r="222" spans="1:43" s="246" customFormat="1" ht="14.4">
      <c r="A222" s="242">
        <v>1</v>
      </c>
      <c r="B222" s="243" t="s">
        <v>273</v>
      </c>
      <c r="C222" s="244" t="s">
        <v>280</v>
      </c>
      <c r="D222" s="245">
        <v>45747</v>
      </c>
      <c r="E222" s="245">
        <v>45747</v>
      </c>
      <c r="F222" s="244" t="s">
        <v>281</v>
      </c>
      <c r="G222" s="242" t="s">
        <v>275</v>
      </c>
      <c r="H222" s="244"/>
      <c r="I222" s="246">
        <v>86</v>
      </c>
      <c r="J222" s="242" t="s">
        <v>276</v>
      </c>
      <c r="K222" s="244">
        <v>1533010002</v>
      </c>
      <c r="L222" s="244"/>
      <c r="M222" s="244"/>
      <c r="N222" s="244"/>
      <c r="O222" s="244"/>
      <c r="P222" s="244"/>
      <c r="Q222" s="244"/>
      <c r="R222" s="244"/>
      <c r="S222" s="244"/>
      <c r="T222" s="247">
        <v>-47450</v>
      </c>
      <c r="U222" s="243" t="s">
        <v>277</v>
      </c>
      <c r="V222" s="244"/>
      <c r="W222" s="244"/>
      <c r="X222" s="244"/>
      <c r="Y222" s="244"/>
      <c r="Z222" s="244"/>
      <c r="AA222" s="244"/>
      <c r="AB222" s="243"/>
      <c r="AC222" s="243" t="s">
        <v>278</v>
      </c>
      <c r="AD222" s="244"/>
      <c r="AE222" s="244"/>
      <c r="AF222" s="248">
        <v>20250331</v>
      </c>
      <c r="AG222" s="244"/>
      <c r="AH222" s="244"/>
      <c r="AI222" s="249">
        <v>20250331</v>
      </c>
      <c r="AJ222" s="250"/>
      <c r="AK222" s="244">
        <v>8170002483</v>
      </c>
      <c r="AL222" s="250"/>
      <c r="AM222" s="244" t="s">
        <v>311</v>
      </c>
      <c r="AN222" s="244"/>
      <c r="AO222" s="234">
        <v>0</v>
      </c>
      <c r="AP222" s="232">
        <f t="shared" si="8"/>
        <v>47450</v>
      </c>
      <c r="AQ222" s="230">
        <f t="shared" si="9"/>
        <v>3</v>
      </c>
    </row>
    <row r="223" spans="1:43" s="246" customFormat="1" ht="14.4">
      <c r="A223" s="242">
        <v>1</v>
      </c>
      <c r="B223" s="243" t="s">
        <v>273</v>
      </c>
      <c r="C223" s="244" t="s">
        <v>280</v>
      </c>
      <c r="D223" s="245">
        <v>45747</v>
      </c>
      <c r="E223" s="245">
        <v>45747</v>
      </c>
      <c r="F223" s="244" t="s">
        <v>281</v>
      </c>
      <c r="G223" s="242" t="s">
        <v>275</v>
      </c>
      <c r="H223" s="244"/>
      <c r="I223" s="246">
        <v>87</v>
      </c>
      <c r="J223" s="242" t="s">
        <v>276</v>
      </c>
      <c r="K223" s="244">
        <v>1533010002</v>
      </c>
      <c r="L223" s="244"/>
      <c r="M223" s="244"/>
      <c r="N223" s="244"/>
      <c r="O223" s="244"/>
      <c r="P223" s="244"/>
      <c r="Q223" s="244"/>
      <c r="R223" s="244"/>
      <c r="S223" s="244"/>
      <c r="T223" s="247">
        <v>-474500</v>
      </c>
      <c r="U223" s="243" t="s">
        <v>277</v>
      </c>
      <c r="V223" s="244"/>
      <c r="W223" s="244"/>
      <c r="X223" s="244"/>
      <c r="Y223" s="244"/>
      <c r="Z223" s="244"/>
      <c r="AA223" s="244"/>
      <c r="AB223" s="243"/>
      <c r="AC223" s="243" t="s">
        <v>278</v>
      </c>
      <c r="AD223" s="244"/>
      <c r="AE223" s="244"/>
      <c r="AF223" s="248">
        <v>20250331</v>
      </c>
      <c r="AG223" s="244"/>
      <c r="AH223" s="244"/>
      <c r="AI223" s="249">
        <v>20250331</v>
      </c>
      <c r="AJ223" s="250"/>
      <c r="AK223" s="244">
        <v>8300035647</v>
      </c>
      <c r="AL223" s="250"/>
      <c r="AM223" s="244" t="s">
        <v>286</v>
      </c>
      <c r="AN223" s="244"/>
      <c r="AO223" s="234">
        <v>0</v>
      </c>
      <c r="AP223" s="232">
        <f t="shared" si="8"/>
        <v>474500</v>
      </c>
      <c r="AQ223" s="230">
        <f t="shared" si="9"/>
        <v>3</v>
      </c>
    </row>
    <row r="224" spans="1:43" s="246" customFormat="1" ht="14.4">
      <c r="A224" s="242">
        <v>1</v>
      </c>
      <c r="B224" s="243" t="s">
        <v>273</v>
      </c>
      <c r="C224" s="244" t="s">
        <v>280</v>
      </c>
      <c r="D224" s="245">
        <v>45747</v>
      </c>
      <c r="E224" s="245">
        <v>45747</v>
      </c>
      <c r="F224" s="244" t="s">
        <v>281</v>
      </c>
      <c r="G224" s="242" t="s">
        <v>275</v>
      </c>
      <c r="H224" s="244"/>
      <c r="I224" s="246">
        <v>88</v>
      </c>
      <c r="J224" s="242" t="s">
        <v>276</v>
      </c>
      <c r="K224" s="244">
        <v>1533010002</v>
      </c>
      <c r="L224" s="244"/>
      <c r="M224" s="244"/>
      <c r="N224" s="244"/>
      <c r="O224" s="244"/>
      <c r="P224" s="244"/>
      <c r="Q224" s="244"/>
      <c r="R224" s="244"/>
      <c r="S224" s="244"/>
      <c r="T224" s="247">
        <v>-1060763</v>
      </c>
      <c r="U224" s="243" t="s">
        <v>277</v>
      </c>
      <c r="V224" s="244"/>
      <c r="W224" s="244"/>
      <c r="X224" s="244"/>
      <c r="Y224" s="244"/>
      <c r="Z224" s="244"/>
      <c r="AA224" s="244"/>
      <c r="AB224" s="243"/>
      <c r="AC224" s="243" t="s">
        <v>278</v>
      </c>
      <c r="AD224" s="244"/>
      <c r="AE224" s="244"/>
      <c r="AF224" s="248">
        <v>20250331</v>
      </c>
      <c r="AG224" s="244"/>
      <c r="AH224" s="244"/>
      <c r="AI224" s="249">
        <v>20250331</v>
      </c>
      <c r="AJ224" s="250"/>
      <c r="AK224" s="244">
        <v>8600021839</v>
      </c>
      <c r="AL224" s="250"/>
      <c r="AM224" s="244" t="s">
        <v>288</v>
      </c>
      <c r="AN224" s="244"/>
      <c r="AO224" s="234">
        <v>0</v>
      </c>
      <c r="AP224" s="232">
        <f t="shared" si="8"/>
        <v>1060763</v>
      </c>
      <c r="AQ224" s="230">
        <f t="shared" si="9"/>
        <v>3</v>
      </c>
    </row>
    <row r="225" spans="1:43" s="246" customFormat="1" ht="14.4">
      <c r="A225" s="242">
        <v>1</v>
      </c>
      <c r="B225" s="243" t="s">
        <v>273</v>
      </c>
      <c r="C225" s="244" t="s">
        <v>280</v>
      </c>
      <c r="D225" s="245">
        <v>45747</v>
      </c>
      <c r="E225" s="245">
        <v>45747</v>
      </c>
      <c r="F225" s="244" t="s">
        <v>281</v>
      </c>
      <c r="G225" s="242" t="s">
        <v>275</v>
      </c>
      <c r="H225" s="244"/>
      <c r="I225" s="246">
        <v>89</v>
      </c>
      <c r="J225" s="242" t="s">
        <v>276</v>
      </c>
      <c r="K225" s="244">
        <v>1533010002</v>
      </c>
      <c r="L225" s="244"/>
      <c r="M225" s="244"/>
      <c r="N225" s="244"/>
      <c r="O225" s="244"/>
      <c r="P225" s="244"/>
      <c r="Q225" s="244"/>
      <c r="R225" s="244"/>
      <c r="S225" s="244"/>
      <c r="T225" s="247">
        <v>-6342262</v>
      </c>
      <c r="U225" s="243" t="s">
        <v>277</v>
      </c>
      <c r="V225" s="244"/>
      <c r="W225" s="244"/>
      <c r="X225" s="244"/>
      <c r="Y225" s="244"/>
      <c r="Z225" s="244"/>
      <c r="AA225" s="244"/>
      <c r="AB225" s="243"/>
      <c r="AC225" s="243" t="s">
        <v>278</v>
      </c>
      <c r="AD225" s="244"/>
      <c r="AE225" s="244"/>
      <c r="AF225" s="248">
        <v>20250331</v>
      </c>
      <c r="AG225" s="244"/>
      <c r="AH225" s="244"/>
      <c r="AI225" s="249">
        <v>20250331</v>
      </c>
      <c r="AJ225" s="250"/>
      <c r="AK225" s="244">
        <v>8000887022</v>
      </c>
      <c r="AL225" s="250"/>
      <c r="AM225" s="244" t="s">
        <v>292</v>
      </c>
      <c r="AN225" s="244"/>
      <c r="AO225" s="234">
        <v>0</v>
      </c>
      <c r="AP225" s="232">
        <f t="shared" si="8"/>
        <v>6342262</v>
      </c>
      <c r="AQ225" s="230">
        <f t="shared" si="9"/>
        <v>3</v>
      </c>
    </row>
    <row r="226" spans="1:43" s="246" customFormat="1" ht="14.4">
      <c r="A226" s="242">
        <v>1</v>
      </c>
      <c r="B226" s="243" t="s">
        <v>273</v>
      </c>
      <c r="C226" s="244" t="s">
        <v>280</v>
      </c>
      <c r="D226" s="245">
        <v>45747</v>
      </c>
      <c r="E226" s="245">
        <v>45747</v>
      </c>
      <c r="F226" s="244" t="s">
        <v>281</v>
      </c>
      <c r="G226" s="242" t="s">
        <v>275</v>
      </c>
      <c r="H226" s="244"/>
      <c r="I226" s="246">
        <v>90</v>
      </c>
      <c r="J226" s="242" t="s">
        <v>276</v>
      </c>
      <c r="K226" s="244">
        <v>1533010002</v>
      </c>
      <c r="L226" s="244"/>
      <c r="M226" s="244"/>
      <c r="N226" s="244"/>
      <c r="O226" s="244"/>
      <c r="P226" s="244"/>
      <c r="Q226" s="244"/>
      <c r="R226" s="244"/>
      <c r="S226" s="244"/>
      <c r="T226" s="247">
        <v>-422933</v>
      </c>
      <c r="U226" s="243" t="s">
        <v>277</v>
      </c>
      <c r="V226" s="244"/>
      <c r="W226" s="244"/>
      <c r="X226" s="244"/>
      <c r="Y226" s="244"/>
      <c r="Z226" s="244"/>
      <c r="AA226" s="244"/>
      <c r="AB226" s="243"/>
      <c r="AC226" s="243" t="s">
        <v>278</v>
      </c>
      <c r="AD226" s="244"/>
      <c r="AE226" s="244"/>
      <c r="AF226" s="248">
        <v>20250331</v>
      </c>
      <c r="AG226" s="244"/>
      <c r="AH226" s="244"/>
      <c r="AI226" s="249">
        <v>20250331</v>
      </c>
      <c r="AJ226" s="250"/>
      <c r="AK226" s="244">
        <v>8050011572</v>
      </c>
      <c r="AL226" s="250"/>
      <c r="AM226" s="244" t="s">
        <v>284</v>
      </c>
      <c r="AN226" s="244"/>
      <c r="AO226" s="234">
        <v>0</v>
      </c>
      <c r="AP226" s="232">
        <f t="shared" si="8"/>
        <v>422933</v>
      </c>
      <c r="AQ226" s="230">
        <f t="shared" si="9"/>
        <v>3</v>
      </c>
    </row>
    <row r="227" spans="1:43" s="246" customFormat="1" ht="14.4">
      <c r="A227" s="242">
        <v>1</v>
      </c>
      <c r="B227" s="243" t="s">
        <v>273</v>
      </c>
      <c r="C227" s="244" t="s">
        <v>280</v>
      </c>
      <c r="D227" s="245">
        <v>45747</v>
      </c>
      <c r="E227" s="245">
        <v>45747</v>
      </c>
      <c r="F227" s="244" t="s">
        <v>281</v>
      </c>
      <c r="G227" s="242" t="s">
        <v>275</v>
      </c>
      <c r="H227" s="244"/>
      <c r="I227" s="246">
        <v>91</v>
      </c>
      <c r="J227" s="242" t="s">
        <v>276</v>
      </c>
      <c r="K227" s="244">
        <v>1533010002</v>
      </c>
      <c r="L227" s="244"/>
      <c r="M227" s="244"/>
      <c r="N227" s="244"/>
      <c r="O227" s="244"/>
      <c r="P227" s="244"/>
      <c r="Q227" s="244"/>
      <c r="R227" s="244"/>
      <c r="S227" s="244"/>
      <c r="T227" s="247">
        <v>-4983964</v>
      </c>
      <c r="U227" s="243" t="s">
        <v>277</v>
      </c>
      <c r="V227" s="244"/>
      <c r="W227" s="244"/>
      <c r="X227" s="244"/>
      <c r="Y227" s="244"/>
      <c r="Z227" s="244"/>
      <c r="AA227" s="244"/>
      <c r="AB227" s="243"/>
      <c r="AC227" s="243" t="s">
        <v>278</v>
      </c>
      <c r="AD227" s="244"/>
      <c r="AE227" s="244"/>
      <c r="AF227" s="248">
        <v>20250331</v>
      </c>
      <c r="AG227" s="244"/>
      <c r="AH227" s="244"/>
      <c r="AI227" s="249">
        <v>20250331</v>
      </c>
      <c r="AJ227" s="250"/>
      <c r="AK227" s="244">
        <v>8600021839</v>
      </c>
      <c r="AL227" s="250"/>
      <c r="AM227" s="244" t="s">
        <v>288</v>
      </c>
      <c r="AN227" s="244"/>
      <c r="AO227" s="234">
        <v>0</v>
      </c>
      <c r="AP227" s="232">
        <f t="shared" si="8"/>
        <v>4983964</v>
      </c>
      <c r="AQ227" s="230">
        <f t="shared" si="9"/>
        <v>3</v>
      </c>
    </row>
    <row r="228" spans="1:43" s="246" customFormat="1" ht="14.4">
      <c r="A228" s="242">
        <v>1</v>
      </c>
      <c r="B228" s="243" t="s">
        <v>273</v>
      </c>
      <c r="C228" s="244" t="s">
        <v>280</v>
      </c>
      <c r="D228" s="245">
        <v>45747</v>
      </c>
      <c r="E228" s="245">
        <v>45747</v>
      </c>
      <c r="F228" s="244" t="s">
        <v>281</v>
      </c>
      <c r="G228" s="242" t="s">
        <v>275</v>
      </c>
      <c r="H228" s="244"/>
      <c r="I228" s="246">
        <v>92</v>
      </c>
      <c r="J228" s="242" t="s">
        <v>276</v>
      </c>
      <c r="K228" s="244">
        <v>1533010002</v>
      </c>
      <c r="L228" s="244"/>
      <c r="M228" s="244"/>
      <c r="N228" s="244"/>
      <c r="O228" s="244"/>
      <c r="P228" s="244"/>
      <c r="Q228" s="244"/>
      <c r="R228" s="244"/>
      <c r="S228" s="244"/>
      <c r="T228" s="247">
        <v>-9155783</v>
      </c>
      <c r="U228" s="243" t="s">
        <v>277</v>
      </c>
      <c r="V228" s="244"/>
      <c r="W228" s="244"/>
      <c r="X228" s="244"/>
      <c r="Y228" s="244"/>
      <c r="Z228" s="244"/>
      <c r="AA228" s="244"/>
      <c r="AB228" s="243"/>
      <c r="AC228" s="243" t="s">
        <v>278</v>
      </c>
      <c r="AD228" s="244"/>
      <c r="AE228" s="244"/>
      <c r="AF228" s="248">
        <v>20250331</v>
      </c>
      <c r="AG228" s="244"/>
      <c r="AH228" s="244"/>
      <c r="AI228" s="249">
        <v>20250331</v>
      </c>
      <c r="AJ228" s="250"/>
      <c r="AK228" s="244">
        <v>8002514406</v>
      </c>
      <c r="AL228" s="250"/>
      <c r="AM228" s="244" t="s">
        <v>283</v>
      </c>
      <c r="AN228" s="244"/>
      <c r="AO228" s="234">
        <v>0</v>
      </c>
      <c r="AP228" s="232">
        <f t="shared" si="8"/>
        <v>9155783</v>
      </c>
      <c r="AQ228" s="230">
        <f t="shared" si="9"/>
        <v>3</v>
      </c>
    </row>
    <row r="229" spans="1:43" s="246" customFormat="1" ht="14.4">
      <c r="A229" s="242">
        <v>1</v>
      </c>
      <c r="B229" s="243" t="s">
        <v>273</v>
      </c>
      <c r="C229" s="244" t="s">
        <v>280</v>
      </c>
      <c r="D229" s="245">
        <v>45747</v>
      </c>
      <c r="E229" s="245">
        <v>45747</v>
      </c>
      <c r="F229" s="244" t="s">
        <v>281</v>
      </c>
      <c r="G229" s="242" t="s">
        <v>275</v>
      </c>
      <c r="H229" s="244"/>
      <c r="I229" s="246">
        <v>93</v>
      </c>
      <c r="J229" s="242" t="s">
        <v>276</v>
      </c>
      <c r="K229" s="244">
        <v>1533010002</v>
      </c>
      <c r="L229" s="244"/>
      <c r="M229" s="244"/>
      <c r="N229" s="244"/>
      <c r="O229" s="244"/>
      <c r="P229" s="244"/>
      <c r="Q229" s="244"/>
      <c r="R229" s="244"/>
      <c r="S229" s="244"/>
      <c r="T229" s="247">
        <v>-5472390</v>
      </c>
      <c r="U229" s="243" t="s">
        <v>277</v>
      </c>
      <c r="V229" s="244"/>
      <c r="W229" s="244"/>
      <c r="X229" s="244"/>
      <c r="Y229" s="244"/>
      <c r="Z229" s="244"/>
      <c r="AA229" s="244"/>
      <c r="AB229" s="243"/>
      <c r="AC229" s="243" t="s">
        <v>278</v>
      </c>
      <c r="AD229" s="244"/>
      <c r="AE229" s="244"/>
      <c r="AF229" s="248">
        <v>20250331</v>
      </c>
      <c r="AG229" s="244"/>
      <c r="AH229" s="244"/>
      <c r="AI229" s="249">
        <v>20250331</v>
      </c>
      <c r="AJ229" s="250"/>
      <c r="AK229" s="244">
        <v>8002514406</v>
      </c>
      <c r="AL229" s="250"/>
      <c r="AM229" s="244" t="s">
        <v>283</v>
      </c>
      <c r="AN229" s="244"/>
      <c r="AO229" s="234">
        <v>0</v>
      </c>
      <c r="AP229" s="232">
        <f t="shared" si="8"/>
        <v>5472390</v>
      </c>
      <c r="AQ229" s="230">
        <f t="shared" si="9"/>
        <v>3</v>
      </c>
    </row>
    <row r="230" spans="1:43" s="246" customFormat="1" ht="14.4">
      <c r="A230" s="242">
        <v>1</v>
      </c>
      <c r="B230" s="243" t="s">
        <v>273</v>
      </c>
      <c r="C230" s="244" t="s">
        <v>280</v>
      </c>
      <c r="D230" s="245">
        <v>45747</v>
      </c>
      <c r="E230" s="245">
        <v>45747</v>
      </c>
      <c r="F230" s="244" t="s">
        <v>281</v>
      </c>
      <c r="G230" s="242" t="s">
        <v>275</v>
      </c>
      <c r="H230" s="244"/>
      <c r="I230" s="246">
        <v>94</v>
      </c>
      <c r="J230" s="242" t="s">
        <v>276</v>
      </c>
      <c r="K230" s="244">
        <v>1533010002</v>
      </c>
      <c r="L230" s="244"/>
      <c r="M230" s="244"/>
      <c r="N230" s="244"/>
      <c r="O230" s="244"/>
      <c r="P230" s="244"/>
      <c r="Q230" s="244"/>
      <c r="R230" s="244"/>
      <c r="S230" s="244"/>
      <c r="T230" s="247">
        <v>-3324494</v>
      </c>
      <c r="U230" s="243" t="s">
        <v>277</v>
      </c>
      <c r="V230" s="244"/>
      <c r="W230" s="244"/>
      <c r="X230" s="244"/>
      <c r="Y230" s="244"/>
      <c r="Z230" s="244"/>
      <c r="AA230" s="244"/>
      <c r="AB230" s="243"/>
      <c r="AC230" s="243" t="s">
        <v>278</v>
      </c>
      <c r="AD230" s="244"/>
      <c r="AE230" s="244"/>
      <c r="AF230" s="248">
        <v>20250331</v>
      </c>
      <c r="AG230" s="244"/>
      <c r="AH230" s="244"/>
      <c r="AI230" s="249">
        <v>20250331</v>
      </c>
      <c r="AJ230" s="250"/>
      <c r="AK230" s="244">
        <v>9001562642</v>
      </c>
      <c r="AL230" s="250"/>
      <c r="AM230" s="244" t="s">
        <v>290</v>
      </c>
      <c r="AN230" s="244"/>
      <c r="AO230" s="234">
        <v>0</v>
      </c>
      <c r="AP230" s="232">
        <f t="shared" si="8"/>
        <v>3324494</v>
      </c>
      <c r="AQ230" s="230">
        <f t="shared" si="9"/>
        <v>3</v>
      </c>
    </row>
    <row r="231" spans="1:43" s="246" customFormat="1" ht="14.4">
      <c r="A231" s="242">
        <v>1</v>
      </c>
      <c r="B231" s="243" t="s">
        <v>273</v>
      </c>
      <c r="C231" s="244" t="s">
        <v>280</v>
      </c>
      <c r="D231" s="245">
        <v>45747</v>
      </c>
      <c r="E231" s="245">
        <v>45747</v>
      </c>
      <c r="F231" s="244" t="s">
        <v>281</v>
      </c>
      <c r="G231" s="242" t="s">
        <v>275</v>
      </c>
      <c r="H231" s="244"/>
      <c r="I231" s="246">
        <v>95</v>
      </c>
      <c r="J231" s="242" t="s">
        <v>276</v>
      </c>
      <c r="K231" s="244">
        <v>1533010002</v>
      </c>
      <c r="L231" s="244"/>
      <c r="M231" s="244"/>
      <c r="N231" s="244"/>
      <c r="O231" s="244"/>
      <c r="P231" s="244"/>
      <c r="Q231" s="244"/>
      <c r="R231" s="244"/>
      <c r="S231" s="244"/>
      <c r="T231" s="247">
        <v>-1613300</v>
      </c>
      <c r="U231" s="243" t="s">
        <v>277</v>
      </c>
      <c r="V231" s="244"/>
      <c r="W231" s="244"/>
      <c r="X231" s="244"/>
      <c r="Y231" s="244"/>
      <c r="Z231" s="244"/>
      <c r="AA231" s="244"/>
      <c r="AB231" s="243"/>
      <c r="AC231" s="243" t="s">
        <v>278</v>
      </c>
      <c r="AD231" s="244"/>
      <c r="AE231" s="244"/>
      <c r="AF231" s="248">
        <v>20250331</v>
      </c>
      <c r="AG231" s="244"/>
      <c r="AH231" s="244"/>
      <c r="AI231" s="249">
        <v>20250331</v>
      </c>
      <c r="AJ231" s="250"/>
      <c r="AK231" s="244">
        <v>9009142541</v>
      </c>
      <c r="AL231" s="250"/>
      <c r="AM231" s="244" t="s">
        <v>296</v>
      </c>
      <c r="AN231" s="244"/>
      <c r="AO231" s="234">
        <v>0</v>
      </c>
      <c r="AP231" s="232">
        <f t="shared" si="8"/>
        <v>1613300</v>
      </c>
      <c r="AQ231" s="230">
        <f t="shared" si="9"/>
        <v>3</v>
      </c>
    </row>
    <row r="232" spans="1:43" s="246" customFormat="1" ht="14.4">
      <c r="A232" s="242">
        <v>1</v>
      </c>
      <c r="B232" s="243" t="s">
        <v>273</v>
      </c>
      <c r="C232" s="244" t="s">
        <v>280</v>
      </c>
      <c r="D232" s="245">
        <v>45747</v>
      </c>
      <c r="E232" s="245">
        <v>45747</v>
      </c>
      <c r="F232" s="244" t="s">
        <v>281</v>
      </c>
      <c r="G232" s="242" t="s">
        <v>275</v>
      </c>
      <c r="H232" s="244"/>
      <c r="I232" s="246">
        <v>96</v>
      </c>
      <c r="J232" s="242" t="s">
        <v>276</v>
      </c>
      <c r="K232" s="244">
        <v>1533010002</v>
      </c>
      <c r="L232" s="244"/>
      <c r="M232" s="244"/>
      <c r="N232" s="244"/>
      <c r="O232" s="244"/>
      <c r="P232" s="244"/>
      <c r="Q232" s="244"/>
      <c r="R232" s="244"/>
      <c r="S232" s="244"/>
      <c r="T232" s="247">
        <v>-12911530</v>
      </c>
      <c r="U232" s="243" t="s">
        <v>277</v>
      </c>
      <c r="V232" s="244"/>
      <c r="W232" s="244"/>
      <c r="X232" s="244"/>
      <c r="Y232" s="244"/>
      <c r="Z232" s="244"/>
      <c r="AA232" s="244"/>
      <c r="AB232" s="243"/>
      <c r="AC232" s="243" t="s">
        <v>278</v>
      </c>
      <c r="AD232" s="244"/>
      <c r="AE232" s="244"/>
      <c r="AF232" s="248">
        <v>20250331</v>
      </c>
      <c r="AG232" s="244"/>
      <c r="AH232" s="244"/>
      <c r="AI232" s="249">
        <v>20250331</v>
      </c>
      <c r="AJ232" s="250"/>
      <c r="AK232" s="244">
        <v>8600021839</v>
      </c>
      <c r="AL232" s="250"/>
      <c r="AM232" s="244" t="s">
        <v>288</v>
      </c>
      <c r="AN232" s="244"/>
      <c r="AO232" s="234">
        <v>0</v>
      </c>
      <c r="AP232" s="232">
        <f t="shared" si="8"/>
        <v>12911530</v>
      </c>
      <c r="AQ232" s="230">
        <f t="shared" si="9"/>
        <v>3</v>
      </c>
    </row>
    <row r="233" spans="1:43" s="246" customFormat="1" ht="14.4">
      <c r="A233" s="242">
        <v>1</v>
      </c>
      <c r="B233" s="243" t="s">
        <v>273</v>
      </c>
      <c r="C233" s="244" t="s">
        <v>280</v>
      </c>
      <c r="D233" s="245">
        <v>45747</v>
      </c>
      <c r="E233" s="245">
        <v>45747</v>
      </c>
      <c r="F233" s="244" t="s">
        <v>281</v>
      </c>
      <c r="G233" s="242" t="s">
        <v>275</v>
      </c>
      <c r="H233" s="244"/>
      <c r="I233" s="246">
        <v>97</v>
      </c>
      <c r="J233" s="242" t="s">
        <v>276</v>
      </c>
      <c r="K233" s="244">
        <v>1533010002</v>
      </c>
      <c r="L233" s="244"/>
      <c r="M233" s="244"/>
      <c r="N233" s="244"/>
      <c r="O233" s="244"/>
      <c r="P233" s="244"/>
      <c r="Q233" s="244"/>
      <c r="R233" s="244"/>
      <c r="S233" s="244"/>
      <c r="T233" s="247">
        <v>-616850</v>
      </c>
      <c r="U233" s="243" t="s">
        <v>277</v>
      </c>
      <c r="V233" s="244"/>
      <c r="W233" s="244"/>
      <c r="X233" s="244"/>
      <c r="Y233" s="244"/>
      <c r="Z233" s="244"/>
      <c r="AA233" s="244"/>
      <c r="AB233" s="243"/>
      <c r="AC233" s="243" t="s">
        <v>278</v>
      </c>
      <c r="AD233" s="244"/>
      <c r="AE233" s="244"/>
      <c r="AF233" s="248">
        <v>20250331</v>
      </c>
      <c r="AG233" s="244"/>
      <c r="AH233" s="244"/>
      <c r="AI233" s="249">
        <v>20250331</v>
      </c>
      <c r="AJ233" s="250"/>
      <c r="AK233" s="244">
        <v>8002514406</v>
      </c>
      <c r="AL233" s="250"/>
      <c r="AM233" s="244" t="s">
        <v>283</v>
      </c>
      <c r="AN233" s="244"/>
      <c r="AO233" s="234">
        <v>0</v>
      </c>
      <c r="AP233" s="232">
        <f t="shared" si="8"/>
        <v>616850</v>
      </c>
      <c r="AQ233" s="230">
        <f t="shared" si="9"/>
        <v>3</v>
      </c>
    </row>
    <row r="234" spans="1:43" s="246" customFormat="1" ht="14.4">
      <c r="A234" s="242">
        <v>1</v>
      </c>
      <c r="B234" s="243" t="s">
        <v>273</v>
      </c>
      <c r="C234" s="244" t="s">
        <v>280</v>
      </c>
      <c r="D234" s="245">
        <v>45747</v>
      </c>
      <c r="E234" s="245">
        <v>45747</v>
      </c>
      <c r="F234" s="244" t="s">
        <v>281</v>
      </c>
      <c r="G234" s="242" t="s">
        <v>275</v>
      </c>
      <c r="H234" s="244"/>
      <c r="I234" s="246">
        <v>98</v>
      </c>
      <c r="J234" s="242" t="s">
        <v>276</v>
      </c>
      <c r="K234" s="244">
        <v>1533010002</v>
      </c>
      <c r="L234" s="244"/>
      <c r="M234" s="244"/>
      <c r="N234" s="244"/>
      <c r="O234" s="244"/>
      <c r="P234" s="244"/>
      <c r="Q234" s="244"/>
      <c r="R234" s="244"/>
      <c r="S234" s="244"/>
      <c r="T234" s="247">
        <v>-47450</v>
      </c>
      <c r="U234" s="243" t="s">
        <v>277</v>
      </c>
      <c r="V234" s="244"/>
      <c r="W234" s="244"/>
      <c r="X234" s="244"/>
      <c r="Y234" s="244"/>
      <c r="Z234" s="244"/>
      <c r="AA234" s="244"/>
      <c r="AB234" s="243"/>
      <c r="AC234" s="243" t="s">
        <v>278</v>
      </c>
      <c r="AD234" s="244"/>
      <c r="AE234" s="244"/>
      <c r="AF234" s="248">
        <v>20250331</v>
      </c>
      <c r="AG234" s="244"/>
      <c r="AH234" s="244"/>
      <c r="AI234" s="249">
        <v>20250331</v>
      </c>
      <c r="AJ234" s="250"/>
      <c r="AK234" s="244">
        <v>8002492410</v>
      </c>
      <c r="AL234" s="250"/>
      <c r="AM234" s="244" t="s">
        <v>297</v>
      </c>
      <c r="AN234" s="244"/>
      <c r="AO234" s="234">
        <v>0</v>
      </c>
      <c r="AP234" s="232">
        <f t="shared" si="8"/>
        <v>47450</v>
      </c>
      <c r="AQ234" s="230">
        <f t="shared" si="9"/>
        <v>3</v>
      </c>
    </row>
    <row r="235" spans="1:43" s="246" customFormat="1" ht="14.4">
      <c r="A235" s="242">
        <v>1</v>
      </c>
      <c r="B235" s="243" t="s">
        <v>273</v>
      </c>
      <c r="C235" s="244" t="s">
        <v>280</v>
      </c>
      <c r="D235" s="245">
        <v>45747</v>
      </c>
      <c r="E235" s="245">
        <v>45747</v>
      </c>
      <c r="F235" s="244" t="s">
        <v>281</v>
      </c>
      <c r="G235" s="242" t="s">
        <v>275</v>
      </c>
      <c r="H235" s="244"/>
      <c r="I235" s="246">
        <v>99</v>
      </c>
      <c r="J235" s="242" t="s">
        <v>276</v>
      </c>
      <c r="K235" s="244">
        <v>1533010002</v>
      </c>
      <c r="L235" s="244"/>
      <c r="M235" s="244"/>
      <c r="N235" s="244"/>
      <c r="O235" s="244"/>
      <c r="P235" s="244"/>
      <c r="Q235" s="244"/>
      <c r="R235" s="244"/>
      <c r="S235" s="244"/>
      <c r="T235" s="247">
        <v>-189800</v>
      </c>
      <c r="U235" s="243" t="s">
        <v>277</v>
      </c>
      <c r="V235" s="244"/>
      <c r="W235" s="244"/>
      <c r="X235" s="244"/>
      <c r="Y235" s="244"/>
      <c r="Z235" s="244"/>
      <c r="AA235" s="244"/>
      <c r="AB235" s="243"/>
      <c r="AC235" s="243" t="s">
        <v>278</v>
      </c>
      <c r="AD235" s="244"/>
      <c r="AE235" s="244"/>
      <c r="AF235" s="248">
        <v>20250331</v>
      </c>
      <c r="AG235" s="244"/>
      <c r="AH235" s="244"/>
      <c r="AI235" s="249">
        <v>20250331</v>
      </c>
      <c r="AJ235" s="250"/>
      <c r="AK235" s="244">
        <v>8002514406</v>
      </c>
      <c r="AL235" s="250"/>
      <c r="AM235" s="244" t="s">
        <v>283</v>
      </c>
      <c r="AN235" s="244"/>
      <c r="AO235" s="234">
        <v>0</v>
      </c>
      <c r="AP235" s="232">
        <f t="shared" si="8"/>
        <v>189800</v>
      </c>
      <c r="AQ235" s="230">
        <f t="shared" si="9"/>
        <v>3</v>
      </c>
    </row>
    <row r="236" spans="1:43" s="246" customFormat="1" ht="14.4">
      <c r="A236" s="242">
        <v>1</v>
      </c>
      <c r="B236" s="243" t="s">
        <v>273</v>
      </c>
      <c r="C236" s="244" t="s">
        <v>280</v>
      </c>
      <c r="D236" s="245">
        <v>45747</v>
      </c>
      <c r="E236" s="245">
        <v>45747</v>
      </c>
      <c r="F236" s="244" t="s">
        <v>281</v>
      </c>
      <c r="G236" s="242" t="s">
        <v>275</v>
      </c>
      <c r="H236" s="244"/>
      <c r="I236" s="246">
        <v>100</v>
      </c>
      <c r="J236" s="242" t="s">
        <v>276</v>
      </c>
      <c r="K236" s="244">
        <v>1533010002</v>
      </c>
      <c r="L236" s="244"/>
      <c r="M236" s="244"/>
      <c r="N236" s="244"/>
      <c r="O236" s="244"/>
      <c r="P236" s="244"/>
      <c r="Q236" s="244"/>
      <c r="R236" s="244"/>
      <c r="S236" s="244"/>
      <c r="T236" s="247">
        <v>-1705728</v>
      </c>
      <c r="U236" s="243" t="s">
        <v>277</v>
      </c>
      <c r="V236" s="244"/>
      <c r="W236" s="244"/>
      <c r="X236" s="244"/>
      <c r="Y236" s="244"/>
      <c r="Z236" s="244"/>
      <c r="AA236" s="244"/>
      <c r="AB236" s="243"/>
      <c r="AC236" s="243" t="s">
        <v>278</v>
      </c>
      <c r="AD236" s="244"/>
      <c r="AE236" s="244"/>
      <c r="AF236" s="248">
        <v>20250331</v>
      </c>
      <c r="AG236" s="244"/>
      <c r="AH236" s="244"/>
      <c r="AI236" s="249">
        <v>20250331</v>
      </c>
      <c r="AJ236" s="250"/>
      <c r="AK236" s="244">
        <v>8300035647</v>
      </c>
      <c r="AL236" s="250"/>
      <c r="AM236" s="244" t="s">
        <v>286</v>
      </c>
      <c r="AN236" s="244"/>
      <c r="AO236" s="234">
        <v>0</v>
      </c>
      <c r="AP236" s="232">
        <f t="shared" si="8"/>
        <v>1705728</v>
      </c>
      <c r="AQ236" s="230">
        <f t="shared" si="9"/>
        <v>3</v>
      </c>
    </row>
    <row r="237" spans="1:43" s="246" customFormat="1" ht="14.4">
      <c r="A237" s="242">
        <v>1</v>
      </c>
      <c r="B237" s="243" t="s">
        <v>273</v>
      </c>
      <c r="C237" s="244" t="s">
        <v>280</v>
      </c>
      <c r="D237" s="245">
        <v>45747</v>
      </c>
      <c r="E237" s="245">
        <v>45747</v>
      </c>
      <c r="F237" s="244" t="s">
        <v>281</v>
      </c>
      <c r="G237" s="242" t="s">
        <v>275</v>
      </c>
      <c r="H237" s="244"/>
      <c r="I237" s="246">
        <v>101</v>
      </c>
      <c r="J237" s="242" t="s">
        <v>276</v>
      </c>
      <c r="K237" s="244">
        <v>1533010002</v>
      </c>
      <c r="L237" s="244"/>
      <c r="M237" s="244"/>
      <c r="N237" s="244"/>
      <c r="O237" s="244"/>
      <c r="P237" s="244"/>
      <c r="Q237" s="244"/>
      <c r="R237" s="244"/>
      <c r="S237" s="244"/>
      <c r="T237" s="247">
        <v>-142350</v>
      </c>
      <c r="U237" s="243" t="s">
        <v>277</v>
      </c>
      <c r="V237" s="244"/>
      <c r="W237" s="244"/>
      <c r="X237" s="244"/>
      <c r="Y237" s="244"/>
      <c r="Z237" s="244"/>
      <c r="AA237" s="244"/>
      <c r="AB237" s="243"/>
      <c r="AC237" s="243" t="s">
        <v>278</v>
      </c>
      <c r="AD237" s="244"/>
      <c r="AE237" s="244"/>
      <c r="AF237" s="248">
        <v>20250331</v>
      </c>
      <c r="AG237" s="244"/>
      <c r="AH237" s="244"/>
      <c r="AI237" s="249">
        <v>20250331</v>
      </c>
      <c r="AJ237" s="250"/>
      <c r="AK237" s="244">
        <v>8600669427</v>
      </c>
      <c r="AL237" s="250"/>
      <c r="AM237" s="244" t="s">
        <v>289</v>
      </c>
      <c r="AN237" s="244"/>
      <c r="AO237" s="234">
        <v>0</v>
      </c>
      <c r="AP237" s="232">
        <f t="shared" si="8"/>
        <v>142350</v>
      </c>
      <c r="AQ237" s="230">
        <f t="shared" si="9"/>
        <v>3</v>
      </c>
    </row>
    <row r="238" spans="1:43" s="246" customFormat="1" ht="14.4">
      <c r="A238" s="242">
        <v>1</v>
      </c>
      <c r="B238" s="243" t="s">
        <v>273</v>
      </c>
      <c r="C238" s="244" t="s">
        <v>280</v>
      </c>
      <c r="D238" s="245">
        <v>45747</v>
      </c>
      <c r="E238" s="245">
        <v>45747</v>
      </c>
      <c r="F238" s="244" t="s">
        <v>281</v>
      </c>
      <c r="G238" s="242" t="s">
        <v>275</v>
      </c>
      <c r="H238" s="244"/>
      <c r="I238" s="246">
        <v>102</v>
      </c>
      <c r="J238" s="242" t="s">
        <v>276</v>
      </c>
      <c r="K238" s="244">
        <v>1533010002</v>
      </c>
      <c r="L238" s="244"/>
      <c r="M238" s="244"/>
      <c r="N238" s="244"/>
      <c r="O238" s="244"/>
      <c r="P238" s="244"/>
      <c r="Q238" s="244"/>
      <c r="R238" s="244"/>
      <c r="S238" s="244"/>
      <c r="T238" s="247">
        <v>-2893307</v>
      </c>
      <c r="U238" s="243" t="s">
        <v>277</v>
      </c>
      <c r="V238" s="244"/>
      <c r="W238" s="244"/>
      <c r="X238" s="244"/>
      <c r="Y238" s="244"/>
      <c r="Z238" s="244"/>
      <c r="AA238" s="244"/>
      <c r="AB238" s="243"/>
      <c r="AC238" s="243" t="s">
        <v>278</v>
      </c>
      <c r="AD238" s="244"/>
      <c r="AE238" s="244"/>
      <c r="AF238" s="248">
        <v>20250331</v>
      </c>
      <c r="AG238" s="244"/>
      <c r="AH238" s="244"/>
      <c r="AI238" s="249">
        <v>20250331</v>
      </c>
      <c r="AJ238" s="250"/>
      <c r="AK238" s="244">
        <v>8600021839</v>
      </c>
      <c r="AL238" s="250"/>
      <c r="AM238" s="244" t="s">
        <v>288</v>
      </c>
      <c r="AN238" s="244"/>
      <c r="AO238" s="234">
        <v>0</v>
      </c>
      <c r="AP238" s="232">
        <f t="shared" si="8"/>
        <v>2893307</v>
      </c>
      <c r="AQ238" s="230">
        <f t="shared" si="9"/>
        <v>3</v>
      </c>
    </row>
    <row r="239" spans="1:43" s="246" customFormat="1" ht="14.4">
      <c r="A239" s="242">
        <v>1</v>
      </c>
      <c r="B239" s="243" t="s">
        <v>273</v>
      </c>
      <c r="C239" s="244" t="s">
        <v>280</v>
      </c>
      <c r="D239" s="245">
        <v>45747</v>
      </c>
      <c r="E239" s="245">
        <v>45747</v>
      </c>
      <c r="F239" s="244" t="s">
        <v>281</v>
      </c>
      <c r="G239" s="242" t="s">
        <v>275</v>
      </c>
      <c r="H239" s="244"/>
      <c r="I239" s="246">
        <v>103</v>
      </c>
      <c r="J239" s="242" t="s">
        <v>276</v>
      </c>
      <c r="K239" s="244">
        <v>1533010002</v>
      </c>
      <c r="L239" s="244"/>
      <c r="M239" s="244"/>
      <c r="N239" s="244"/>
      <c r="O239" s="244"/>
      <c r="P239" s="244"/>
      <c r="Q239" s="244"/>
      <c r="R239" s="244"/>
      <c r="S239" s="244"/>
      <c r="T239" s="247">
        <v>-142350</v>
      </c>
      <c r="U239" s="243" t="s">
        <v>277</v>
      </c>
      <c r="V239" s="244"/>
      <c r="W239" s="244"/>
      <c r="X239" s="244"/>
      <c r="Y239" s="244"/>
      <c r="Z239" s="244"/>
      <c r="AA239" s="244"/>
      <c r="AB239" s="243"/>
      <c r="AC239" s="243" t="s">
        <v>278</v>
      </c>
      <c r="AD239" s="244"/>
      <c r="AE239" s="244"/>
      <c r="AF239" s="248">
        <v>20250331</v>
      </c>
      <c r="AG239" s="244"/>
      <c r="AH239" s="244"/>
      <c r="AI239" s="249">
        <v>20250331</v>
      </c>
      <c r="AJ239" s="250"/>
      <c r="AK239" s="244">
        <v>8002492410</v>
      </c>
      <c r="AL239" s="250"/>
      <c r="AM239" s="244" t="s">
        <v>297</v>
      </c>
      <c r="AN239" s="244"/>
      <c r="AO239" s="234">
        <v>0</v>
      </c>
      <c r="AP239" s="232">
        <f t="shared" si="8"/>
        <v>142350</v>
      </c>
      <c r="AQ239" s="230">
        <f t="shared" si="9"/>
        <v>3</v>
      </c>
    </row>
    <row r="240" spans="1:43" s="246" customFormat="1" ht="14.4">
      <c r="A240" s="242">
        <v>1</v>
      </c>
      <c r="B240" s="243" t="s">
        <v>273</v>
      </c>
      <c r="C240" s="244" t="s">
        <v>280</v>
      </c>
      <c r="D240" s="245">
        <v>45747</v>
      </c>
      <c r="E240" s="245">
        <v>45747</v>
      </c>
      <c r="F240" s="244" t="s">
        <v>281</v>
      </c>
      <c r="G240" s="242" t="s">
        <v>275</v>
      </c>
      <c r="H240" s="244"/>
      <c r="I240" s="246">
        <v>104</v>
      </c>
      <c r="J240" s="242" t="s">
        <v>276</v>
      </c>
      <c r="K240" s="244">
        <v>1533010002</v>
      </c>
      <c r="L240" s="244"/>
      <c r="M240" s="244"/>
      <c r="N240" s="244"/>
      <c r="O240" s="244"/>
      <c r="P240" s="244"/>
      <c r="Q240" s="244"/>
      <c r="R240" s="244"/>
      <c r="S240" s="244"/>
      <c r="T240" s="247">
        <v>-124537</v>
      </c>
      <c r="U240" s="243" t="s">
        <v>277</v>
      </c>
      <c r="V240" s="244"/>
      <c r="W240" s="244"/>
      <c r="X240" s="244"/>
      <c r="Y240" s="244"/>
      <c r="Z240" s="244"/>
      <c r="AA240" s="244"/>
      <c r="AB240" s="243"/>
      <c r="AC240" s="243" t="s">
        <v>278</v>
      </c>
      <c r="AD240" s="244"/>
      <c r="AE240" s="244"/>
      <c r="AF240" s="248">
        <v>20250331</v>
      </c>
      <c r="AG240" s="244"/>
      <c r="AH240" s="244"/>
      <c r="AI240" s="249">
        <v>20250331</v>
      </c>
      <c r="AJ240" s="250"/>
      <c r="AK240" s="244">
        <v>8301138310</v>
      </c>
      <c r="AL240" s="250"/>
      <c r="AM240" s="244" t="s">
        <v>287</v>
      </c>
      <c r="AN240" s="244"/>
      <c r="AO240" s="234">
        <v>0</v>
      </c>
      <c r="AP240" s="232">
        <f t="shared" si="8"/>
        <v>124537</v>
      </c>
      <c r="AQ240" s="230">
        <f t="shared" si="9"/>
        <v>3</v>
      </c>
    </row>
    <row r="241" spans="1:43" s="246" customFormat="1" ht="14.4">
      <c r="A241" s="242">
        <v>1</v>
      </c>
      <c r="B241" s="243" t="s">
        <v>273</v>
      </c>
      <c r="C241" s="244" t="s">
        <v>280</v>
      </c>
      <c r="D241" s="245">
        <v>45747</v>
      </c>
      <c r="E241" s="245">
        <v>45747</v>
      </c>
      <c r="F241" s="244" t="s">
        <v>281</v>
      </c>
      <c r="G241" s="242" t="s">
        <v>275</v>
      </c>
      <c r="H241" s="244"/>
      <c r="I241" s="246">
        <v>105</v>
      </c>
      <c r="J241" s="242" t="s">
        <v>276</v>
      </c>
      <c r="K241" s="244">
        <v>1533010002</v>
      </c>
      <c r="L241" s="244"/>
      <c r="M241" s="244"/>
      <c r="N241" s="244"/>
      <c r="O241" s="244"/>
      <c r="P241" s="244"/>
      <c r="Q241" s="244"/>
      <c r="R241" s="244"/>
      <c r="S241" s="244"/>
      <c r="T241" s="247">
        <v>-7153408</v>
      </c>
      <c r="U241" s="243" t="s">
        <v>277</v>
      </c>
      <c r="V241" s="244"/>
      <c r="W241" s="244"/>
      <c r="X241" s="244"/>
      <c r="Y241" s="244"/>
      <c r="Z241" s="244"/>
      <c r="AA241" s="244"/>
      <c r="AB241" s="243"/>
      <c r="AC241" s="243" t="s">
        <v>278</v>
      </c>
      <c r="AD241" s="244"/>
      <c r="AE241" s="244"/>
      <c r="AF241" s="248">
        <v>20250331</v>
      </c>
      <c r="AG241" s="244"/>
      <c r="AH241" s="244"/>
      <c r="AI241" s="249">
        <v>20250331</v>
      </c>
      <c r="AJ241" s="250"/>
      <c r="AK241" s="244">
        <v>8000887022</v>
      </c>
      <c r="AL241" s="250"/>
      <c r="AM241" s="244" t="s">
        <v>292</v>
      </c>
      <c r="AN241" s="244"/>
      <c r="AO241" s="234">
        <v>0</v>
      </c>
      <c r="AP241" s="232">
        <f t="shared" si="8"/>
        <v>7153408</v>
      </c>
      <c r="AQ241" s="230">
        <f t="shared" si="9"/>
        <v>3</v>
      </c>
    </row>
    <row r="242" spans="1:43" s="246" customFormat="1" ht="14.4">
      <c r="A242" s="242">
        <v>1</v>
      </c>
      <c r="B242" s="243" t="s">
        <v>273</v>
      </c>
      <c r="C242" s="244" t="s">
        <v>280</v>
      </c>
      <c r="D242" s="245">
        <v>45747</v>
      </c>
      <c r="E242" s="245">
        <v>45747</v>
      </c>
      <c r="F242" s="244" t="s">
        <v>281</v>
      </c>
      <c r="G242" s="242" t="s">
        <v>275</v>
      </c>
      <c r="H242" s="244"/>
      <c r="I242" s="246">
        <v>106</v>
      </c>
      <c r="J242" s="242" t="s">
        <v>276</v>
      </c>
      <c r="K242" s="244">
        <v>1533010002</v>
      </c>
      <c r="L242" s="244"/>
      <c r="M242" s="244"/>
      <c r="N242" s="244"/>
      <c r="O242" s="244"/>
      <c r="P242" s="244"/>
      <c r="Q242" s="244"/>
      <c r="R242" s="244"/>
      <c r="S242" s="244"/>
      <c r="T242" s="247">
        <v>-5460084</v>
      </c>
      <c r="U242" s="243" t="s">
        <v>277</v>
      </c>
      <c r="V242" s="244"/>
      <c r="W242" s="244"/>
      <c r="X242" s="244"/>
      <c r="Y242" s="244"/>
      <c r="Z242" s="244"/>
      <c r="AA242" s="244"/>
      <c r="AB242" s="243"/>
      <c r="AC242" s="243" t="s">
        <v>278</v>
      </c>
      <c r="AD242" s="244"/>
      <c r="AE242" s="244"/>
      <c r="AF242" s="248">
        <v>20250331</v>
      </c>
      <c r="AG242" s="244"/>
      <c r="AH242" s="244"/>
      <c r="AI242" s="249">
        <v>20250331</v>
      </c>
      <c r="AJ242" s="250"/>
      <c r="AK242" s="244">
        <v>8002492410</v>
      </c>
      <c r="AL242" s="250"/>
      <c r="AM242" s="244" t="s">
        <v>297</v>
      </c>
      <c r="AN242" s="244"/>
      <c r="AO242" s="234">
        <v>0</v>
      </c>
      <c r="AP242" s="232">
        <f t="shared" si="8"/>
        <v>5460084</v>
      </c>
      <c r="AQ242" s="230">
        <f t="shared" si="9"/>
        <v>3</v>
      </c>
    </row>
    <row r="243" spans="1:43" s="246" customFormat="1" ht="14.4">
      <c r="A243" s="242">
        <v>1</v>
      </c>
      <c r="B243" s="243" t="s">
        <v>273</v>
      </c>
      <c r="C243" s="244" t="s">
        <v>280</v>
      </c>
      <c r="D243" s="245">
        <v>45747</v>
      </c>
      <c r="E243" s="245">
        <v>45747</v>
      </c>
      <c r="F243" s="244" t="s">
        <v>281</v>
      </c>
      <c r="G243" s="242" t="s">
        <v>275</v>
      </c>
      <c r="H243" s="244"/>
      <c r="I243" s="246">
        <v>107</v>
      </c>
      <c r="J243" s="242" t="s">
        <v>276</v>
      </c>
      <c r="K243" s="244">
        <v>1533010002</v>
      </c>
      <c r="L243" s="244"/>
      <c r="M243" s="244"/>
      <c r="N243" s="244"/>
      <c r="O243" s="244"/>
      <c r="P243" s="244"/>
      <c r="Q243" s="244"/>
      <c r="R243" s="244"/>
      <c r="S243" s="244"/>
      <c r="T243" s="247">
        <v>-6205705</v>
      </c>
      <c r="U243" s="243" t="s">
        <v>277</v>
      </c>
      <c r="V243" s="244"/>
      <c r="W243" s="244"/>
      <c r="X243" s="244"/>
      <c r="Y243" s="244"/>
      <c r="Z243" s="244"/>
      <c r="AA243" s="244"/>
      <c r="AB243" s="243"/>
      <c r="AC243" s="243" t="s">
        <v>278</v>
      </c>
      <c r="AD243" s="244"/>
      <c r="AE243" s="244"/>
      <c r="AF243" s="248">
        <v>20250331</v>
      </c>
      <c r="AG243" s="244"/>
      <c r="AH243" s="244"/>
      <c r="AI243" s="249">
        <v>20250331</v>
      </c>
      <c r="AJ243" s="250"/>
      <c r="AK243" s="244">
        <v>8002514406</v>
      </c>
      <c r="AL243" s="250"/>
      <c r="AM243" s="244" t="s">
        <v>283</v>
      </c>
      <c r="AN243" s="244"/>
      <c r="AO243" s="234">
        <v>0</v>
      </c>
      <c r="AP243" s="232">
        <f t="shared" si="8"/>
        <v>6205705</v>
      </c>
      <c r="AQ243" s="230">
        <f t="shared" si="9"/>
        <v>3</v>
      </c>
    </row>
    <row r="244" spans="1:43" s="246" customFormat="1" ht="14.4">
      <c r="A244" s="242">
        <v>1</v>
      </c>
      <c r="B244" s="243" t="s">
        <v>273</v>
      </c>
      <c r="C244" s="244" t="s">
        <v>280</v>
      </c>
      <c r="D244" s="245">
        <v>45747</v>
      </c>
      <c r="E244" s="245">
        <v>45747</v>
      </c>
      <c r="F244" s="244" t="s">
        <v>281</v>
      </c>
      <c r="G244" s="242" t="s">
        <v>275</v>
      </c>
      <c r="H244" s="244"/>
      <c r="I244" s="246">
        <v>108</v>
      </c>
      <c r="J244" s="242" t="s">
        <v>276</v>
      </c>
      <c r="K244" s="244">
        <v>1533010002</v>
      </c>
      <c r="L244" s="244"/>
      <c r="M244" s="244"/>
      <c r="N244" s="244"/>
      <c r="O244" s="244"/>
      <c r="P244" s="244"/>
      <c r="Q244" s="244"/>
      <c r="R244" s="244"/>
      <c r="S244" s="244"/>
      <c r="T244" s="247">
        <v>-2151921</v>
      </c>
      <c r="U244" s="243" t="s">
        <v>277</v>
      </c>
      <c r="V244" s="244"/>
      <c r="W244" s="244"/>
      <c r="X244" s="244"/>
      <c r="Y244" s="244"/>
      <c r="Z244" s="244"/>
      <c r="AA244" s="244"/>
      <c r="AB244" s="243"/>
      <c r="AC244" s="243" t="s">
        <v>278</v>
      </c>
      <c r="AD244" s="244"/>
      <c r="AE244" s="244"/>
      <c r="AF244" s="248">
        <v>20250331</v>
      </c>
      <c r="AG244" s="244"/>
      <c r="AH244" s="244"/>
      <c r="AI244" s="249">
        <v>20250331</v>
      </c>
      <c r="AJ244" s="250"/>
      <c r="AK244" s="244">
        <v>8600021839</v>
      </c>
      <c r="AL244" s="250"/>
      <c r="AM244" s="244" t="s">
        <v>288</v>
      </c>
      <c r="AN244" s="244"/>
      <c r="AO244" s="234">
        <v>0</v>
      </c>
      <c r="AP244" s="232">
        <f t="shared" si="8"/>
        <v>2151921</v>
      </c>
      <c r="AQ244" s="230">
        <f t="shared" si="9"/>
        <v>3</v>
      </c>
    </row>
    <row r="245" spans="1:43" s="246" customFormat="1" ht="14.4">
      <c r="A245" s="242">
        <v>1</v>
      </c>
      <c r="B245" s="243" t="s">
        <v>273</v>
      </c>
      <c r="C245" s="244" t="s">
        <v>280</v>
      </c>
      <c r="D245" s="245">
        <v>45747</v>
      </c>
      <c r="E245" s="245">
        <v>45747</v>
      </c>
      <c r="F245" s="244" t="s">
        <v>281</v>
      </c>
      <c r="G245" s="242" t="s">
        <v>275</v>
      </c>
      <c r="H245" s="244"/>
      <c r="I245" s="246">
        <v>109</v>
      </c>
      <c r="J245" s="242" t="s">
        <v>276</v>
      </c>
      <c r="K245" s="244">
        <v>1533010002</v>
      </c>
      <c r="L245" s="244"/>
      <c r="M245" s="244"/>
      <c r="N245" s="244"/>
      <c r="O245" s="244"/>
      <c r="P245" s="244"/>
      <c r="Q245" s="244"/>
      <c r="R245" s="244"/>
      <c r="S245" s="244"/>
      <c r="T245" s="247">
        <v>-49548140</v>
      </c>
      <c r="U245" s="243" t="s">
        <v>277</v>
      </c>
      <c r="V245" s="244"/>
      <c r="W245" s="244"/>
      <c r="X245" s="244"/>
      <c r="Y245" s="244"/>
      <c r="Z245" s="244"/>
      <c r="AA245" s="244"/>
      <c r="AB245" s="243"/>
      <c r="AC245" s="243" t="s">
        <v>278</v>
      </c>
      <c r="AD245" s="244"/>
      <c r="AE245" s="244"/>
      <c r="AF245" s="248">
        <v>20250331</v>
      </c>
      <c r="AG245" s="244"/>
      <c r="AH245" s="244"/>
      <c r="AI245" s="249">
        <v>20250331</v>
      </c>
      <c r="AJ245" s="250"/>
      <c r="AK245" s="244">
        <v>8002514406</v>
      </c>
      <c r="AL245" s="250"/>
      <c r="AM245" s="244" t="s">
        <v>283</v>
      </c>
      <c r="AN245" s="244"/>
      <c r="AO245" s="234">
        <v>0</v>
      </c>
      <c r="AP245" s="232">
        <f t="shared" si="8"/>
        <v>49548140</v>
      </c>
      <c r="AQ245" s="230">
        <f t="shared" si="9"/>
        <v>3</v>
      </c>
    </row>
    <row r="246" spans="1:43" s="246" customFormat="1" ht="14.4">
      <c r="A246" s="242">
        <v>1</v>
      </c>
      <c r="B246" s="243" t="s">
        <v>273</v>
      </c>
      <c r="C246" s="244" t="s">
        <v>280</v>
      </c>
      <c r="D246" s="245">
        <v>45747</v>
      </c>
      <c r="E246" s="245">
        <v>45747</v>
      </c>
      <c r="F246" s="244" t="s">
        <v>281</v>
      </c>
      <c r="G246" s="242" t="s">
        <v>275</v>
      </c>
      <c r="H246" s="244"/>
      <c r="I246" s="246">
        <v>110</v>
      </c>
      <c r="J246" s="242" t="s">
        <v>276</v>
      </c>
      <c r="K246" s="244">
        <v>1533010002</v>
      </c>
      <c r="L246" s="244"/>
      <c r="M246" s="244"/>
      <c r="N246" s="244"/>
      <c r="O246" s="244"/>
      <c r="P246" s="244"/>
      <c r="Q246" s="244"/>
      <c r="R246" s="244"/>
      <c r="S246" s="244"/>
      <c r="T246" s="247">
        <v>-6119022</v>
      </c>
      <c r="U246" s="243" t="s">
        <v>277</v>
      </c>
      <c r="V246" s="244"/>
      <c r="W246" s="244"/>
      <c r="X246" s="244"/>
      <c r="Y246" s="244"/>
      <c r="Z246" s="244"/>
      <c r="AA246" s="244"/>
      <c r="AB246" s="243"/>
      <c r="AC246" s="243" t="s">
        <v>278</v>
      </c>
      <c r="AD246" s="244"/>
      <c r="AE246" s="244"/>
      <c r="AF246" s="248">
        <v>20250331</v>
      </c>
      <c r="AG246" s="244"/>
      <c r="AH246" s="244"/>
      <c r="AI246" s="249">
        <v>20250331</v>
      </c>
      <c r="AJ246" s="250"/>
      <c r="AK246" s="244">
        <v>8001309074</v>
      </c>
      <c r="AL246" s="250"/>
      <c r="AM246" s="244" t="s">
        <v>305</v>
      </c>
      <c r="AN246" s="244"/>
      <c r="AO246" s="234">
        <v>0</v>
      </c>
      <c r="AP246" s="232">
        <f t="shared" si="8"/>
        <v>6119022</v>
      </c>
      <c r="AQ246" s="230">
        <f t="shared" si="9"/>
        <v>3</v>
      </c>
    </row>
    <row r="247" spans="1:43" s="246" customFormat="1" ht="14.4">
      <c r="A247" s="242">
        <v>1</v>
      </c>
      <c r="B247" s="243" t="s">
        <v>273</v>
      </c>
      <c r="C247" s="244" t="s">
        <v>280</v>
      </c>
      <c r="D247" s="245">
        <v>45747</v>
      </c>
      <c r="E247" s="245">
        <v>45747</v>
      </c>
      <c r="F247" s="244" t="s">
        <v>281</v>
      </c>
      <c r="G247" s="242" t="s">
        <v>275</v>
      </c>
      <c r="H247" s="244"/>
      <c r="I247" s="246">
        <v>111</v>
      </c>
      <c r="J247" s="242" t="s">
        <v>276</v>
      </c>
      <c r="K247" s="244">
        <v>1533010002</v>
      </c>
      <c r="L247" s="244"/>
      <c r="M247" s="244"/>
      <c r="N247" s="244"/>
      <c r="O247" s="244"/>
      <c r="P247" s="244"/>
      <c r="Q247" s="244"/>
      <c r="R247" s="244"/>
      <c r="S247" s="244"/>
      <c r="T247" s="247">
        <v>-581456</v>
      </c>
      <c r="U247" s="243" t="s">
        <v>277</v>
      </c>
      <c r="V247" s="244"/>
      <c r="W247" s="244"/>
      <c r="X247" s="244"/>
      <c r="Y247" s="244"/>
      <c r="Z247" s="244"/>
      <c r="AA247" s="244"/>
      <c r="AB247" s="243"/>
      <c r="AC247" s="243" t="s">
        <v>278</v>
      </c>
      <c r="AD247" s="244"/>
      <c r="AE247" s="244"/>
      <c r="AF247" s="248">
        <v>20250331</v>
      </c>
      <c r="AG247" s="244"/>
      <c r="AH247" s="244"/>
      <c r="AI247" s="249">
        <v>20250331</v>
      </c>
      <c r="AJ247" s="250"/>
      <c r="AK247" s="244">
        <v>8301138310</v>
      </c>
      <c r="AL247" s="250"/>
      <c r="AM247" s="244" t="s">
        <v>287</v>
      </c>
      <c r="AN247" s="244"/>
      <c r="AO247" s="234">
        <v>0</v>
      </c>
      <c r="AP247" s="232">
        <f t="shared" si="8"/>
        <v>581456</v>
      </c>
      <c r="AQ247" s="230">
        <f t="shared" si="9"/>
        <v>3</v>
      </c>
    </row>
    <row r="248" spans="1:43" s="246" customFormat="1" ht="14.4">
      <c r="A248" s="242">
        <v>1</v>
      </c>
      <c r="B248" s="243" t="s">
        <v>273</v>
      </c>
      <c r="C248" s="244" t="s">
        <v>280</v>
      </c>
      <c r="D248" s="245">
        <v>45747</v>
      </c>
      <c r="E248" s="245">
        <v>45747</v>
      </c>
      <c r="F248" s="244" t="s">
        <v>281</v>
      </c>
      <c r="G248" s="242" t="s">
        <v>275</v>
      </c>
      <c r="H248" s="244"/>
      <c r="I248" s="246">
        <v>112</v>
      </c>
      <c r="J248" s="242" t="s">
        <v>276</v>
      </c>
      <c r="K248" s="244">
        <v>1533010002</v>
      </c>
      <c r="L248" s="244"/>
      <c r="M248" s="244"/>
      <c r="N248" s="244"/>
      <c r="O248" s="244"/>
      <c r="P248" s="244"/>
      <c r="Q248" s="244"/>
      <c r="R248" s="244"/>
      <c r="S248" s="244"/>
      <c r="T248" s="247">
        <v>-574636</v>
      </c>
      <c r="U248" s="243" t="s">
        <v>277</v>
      </c>
      <c r="V248" s="244"/>
      <c r="W248" s="244"/>
      <c r="X248" s="244"/>
      <c r="Y248" s="244"/>
      <c r="Z248" s="244"/>
      <c r="AA248" s="244"/>
      <c r="AB248" s="243"/>
      <c r="AC248" s="243" t="s">
        <v>278</v>
      </c>
      <c r="AD248" s="244"/>
      <c r="AE248" s="244"/>
      <c r="AF248" s="248">
        <v>20250331</v>
      </c>
      <c r="AG248" s="244"/>
      <c r="AH248" s="244"/>
      <c r="AI248" s="249">
        <v>20250331</v>
      </c>
      <c r="AJ248" s="250"/>
      <c r="AK248" s="244">
        <v>8600669427</v>
      </c>
      <c r="AL248" s="250"/>
      <c r="AM248" s="244" t="s">
        <v>289</v>
      </c>
      <c r="AN248" s="244"/>
      <c r="AO248" s="234">
        <v>0</v>
      </c>
      <c r="AP248" s="232">
        <f t="shared" si="8"/>
        <v>574636</v>
      </c>
      <c r="AQ248" s="230">
        <f t="shared" si="9"/>
        <v>3</v>
      </c>
    </row>
    <row r="249" spans="1:43" s="246" customFormat="1" ht="14.4">
      <c r="A249" s="242">
        <v>1</v>
      </c>
      <c r="B249" s="243" t="s">
        <v>273</v>
      </c>
      <c r="C249" s="244" t="s">
        <v>280</v>
      </c>
      <c r="D249" s="245">
        <v>45747</v>
      </c>
      <c r="E249" s="245">
        <v>45747</v>
      </c>
      <c r="F249" s="244" t="s">
        <v>281</v>
      </c>
      <c r="G249" s="242" t="s">
        <v>275</v>
      </c>
      <c r="H249" s="244"/>
      <c r="I249" s="246">
        <v>113</v>
      </c>
      <c r="J249" s="242" t="s">
        <v>276</v>
      </c>
      <c r="K249" s="244">
        <v>1533010002</v>
      </c>
      <c r="L249" s="244"/>
      <c r="M249" s="244"/>
      <c r="N249" s="244"/>
      <c r="O249" s="244"/>
      <c r="P249" s="244"/>
      <c r="Q249" s="244"/>
      <c r="R249" s="244"/>
      <c r="S249" s="244"/>
      <c r="T249" s="247">
        <v>-2479833</v>
      </c>
      <c r="U249" s="243" t="s">
        <v>277</v>
      </c>
      <c r="V249" s="244"/>
      <c r="W249" s="244"/>
      <c r="X249" s="244"/>
      <c r="Y249" s="244"/>
      <c r="Z249" s="244"/>
      <c r="AA249" s="244"/>
      <c r="AB249" s="243"/>
      <c r="AC249" s="243" t="s">
        <v>278</v>
      </c>
      <c r="AD249" s="244"/>
      <c r="AE249" s="244"/>
      <c r="AF249" s="248">
        <v>20250331</v>
      </c>
      <c r="AG249" s="244"/>
      <c r="AH249" s="244"/>
      <c r="AI249" s="249">
        <v>20250331</v>
      </c>
      <c r="AJ249" s="250"/>
      <c r="AK249" s="244">
        <v>8002514406</v>
      </c>
      <c r="AL249" s="250"/>
      <c r="AM249" s="244" t="s">
        <v>283</v>
      </c>
      <c r="AN249" s="244"/>
      <c r="AO249" s="234">
        <v>0</v>
      </c>
      <c r="AP249" s="232">
        <f t="shared" si="8"/>
        <v>2479833</v>
      </c>
      <c r="AQ249" s="230">
        <f t="shared" si="9"/>
        <v>3</v>
      </c>
    </row>
    <row r="250" spans="1:43" s="246" customFormat="1" ht="14.4">
      <c r="A250" s="242">
        <v>1</v>
      </c>
      <c r="B250" s="243" t="s">
        <v>273</v>
      </c>
      <c r="C250" s="244" t="s">
        <v>280</v>
      </c>
      <c r="D250" s="245">
        <v>45747</v>
      </c>
      <c r="E250" s="245">
        <v>45747</v>
      </c>
      <c r="F250" s="244" t="s">
        <v>281</v>
      </c>
      <c r="G250" s="242" t="s">
        <v>275</v>
      </c>
      <c r="H250" s="244"/>
      <c r="I250" s="246">
        <v>114</v>
      </c>
      <c r="J250" s="242" t="s">
        <v>276</v>
      </c>
      <c r="K250" s="244">
        <v>1533010002</v>
      </c>
      <c r="L250" s="244"/>
      <c r="M250" s="244"/>
      <c r="N250" s="244"/>
      <c r="O250" s="244"/>
      <c r="P250" s="244"/>
      <c r="Q250" s="244"/>
      <c r="R250" s="244"/>
      <c r="S250" s="244"/>
      <c r="T250" s="247">
        <v>-12175063</v>
      </c>
      <c r="U250" s="243" t="s">
        <v>277</v>
      </c>
      <c r="V250" s="244"/>
      <c r="W250" s="244"/>
      <c r="X250" s="244"/>
      <c r="Y250" s="244"/>
      <c r="Z250" s="244"/>
      <c r="AA250" s="244"/>
      <c r="AB250" s="243"/>
      <c r="AC250" s="243" t="s">
        <v>278</v>
      </c>
      <c r="AD250" s="244"/>
      <c r="AE250" s="244"/>
      <c r="AF250" s="248">
        <v>20250331</v>
      </c>
      <c r="AG250" s="244"/>
      <c r="AH250" s="244"/>
      <c r="AI250" s="249">
        <v>20250331</v>
      </c>
      <c r="AJ250" s="250"/>
      <c r="AK250" s="244">
        <v>9001562642</v>
      </c>
      <c r="AL250" s="250"/>
      <c r="AM250" s="244" t="s">
        <v>290</v>
      </c>
      <c r="AN250" s="244"/>
      <c r="AO250" s="234">
        <v>0</v>
      </c>
      <c r="AP250" s="232">
        <f t="shared" si="8"/>
        <v>12175063</v>
      </c>
      <c r="AQ250" s="230">
        <f t="shared" si="9"/>
        <v>3</v>
      </c>
    </row>
    <row r="251" spans="1:43" s="246" customFormat="1" ht="14.4">
      <c r="A251" s="242">
        <v>1</v>
      </c>
      <c r="B251" s="243" t="s">
        <v>273</v>
      </c>
      <c r="C251" s="244" t="s">
        <v>280</v>
      </c>
      <c r="D251" s="245">
        <v>45747</v>
      </c>
      <c r="E251" s="245">
        <v>45747</v>
      </c>
      <c r="F251" s="244" t="s">
        <v>281</v>
      </c>
      <c r="G251" s="242" t="s">
        <v>275</v>
      </c>
      <c r="H251" s="244"/>
      <c r="I251" s="246">
        <v>115</v>
      </c>
      <c r="J251" s="242" t="s">
        <v>276</v>
      </c>
      <c r="K251" s="244">
        <v>1533010002</v>
      </c>
      <c r="L251" s="244"/>
      <c r="M251" s="244"/>
      <c r="N251" s="244"/>
      <c r="O251" s="244"/>
      <c r="P251" s="244"/>
      <c r="Q251" s="244"/>
      <c r="R251" s="244"/>
      <c r="S251" s="244"/>
      <c r="T251" s="247">
        <v>-3943241</v>
      </c>
      <c r="U251" s="243" t="s">
        <v>277</v>
      </c>
      <c r="V251" s="244"/>
      <c r="W251" s="244"/>
      <c r="X251" s="244"/>
      <c r="Y251" s="244"/>
      <c r="Z251" s="244"/>
      <c r="AA251" s="244"/>
      <c r="AB251" s="243"/>
      <c r="AC251" s="243" t="s">
        <v>278</v>
      </c>
      <c r="AD251" s="244"/>
      <c r="AE251" s="244"/>
      <c r="AF251" s="248">
        <v>20250331</v>
      </c>
      <c r="AG251" s="244"/>
      <c r="AH251" s="244"/>
      <c r="AI251" s="249">
        <v>20250331</v>
      </c>
      <c r="AJ251" s="250"/>
      <c r="AK251" s="244">
        <v>8002514406</v>
      </c>
      <c r="AL251" s="250"/>
      <c r="AM251" s="244" t="s">
        <v>283</v>
      </c>
      <c r="AN251" s="244"/>
      <c r="AO251" s="234">
        <v>0</v>
      </c>
      <c r="AP251" s="232">
        <f t="shared" si="8"/>
        <v>3943241</v>
      </c>
      <c r="AQ251" s="230">
        <f t="shared" si="9"/>
        <v>3</v>
      </c>
    </row>
    <row r="252" spans="1:43" s="246" customFormat="1" ht="14.4">
      <c r="A252" s="242">
        <v>1</v>
      </c>
      <c r="B252" s="243" t="s">
        <v>273</v>
      </c>
      <c r="C252" s="244" t="s">
        <v>280</v>
      </c>
      <c r="D252" s="245">
        <v>45747</v>
      </c>
      <c r="E252" s="245">
        <v>45747</v>
      </c>
      <c r="F252" s="244" t="s">
        <v>281</v>
      </c>
      <c r="G252" s="242" t="s">
        <v>275</v>
      </c>
      <c r="H252" s="244"/>
      <c r="I252" s="246">
        <v>116</v>
      </c>
      <c r="J252" s="242" t="s">
        <v>276</v>
      </c>
      <c r="K252" s="244">
        <v>1533010002</v>
      </c>
      <c r="L252" s="244"/>
      <c r="M252" s="244"/>
      <c r="N252" s="244"/>
      <c r="O252" s="244"/>
      <c r="P252" s="244"/>
      <c r="Q252" s="244"/>
      <c r="R252" s="244"/>
      <c r="S252" s="244"/>
      <c r="T252" s="247">
        <v>-2752100</v>
      </c>
      <c r="U252" s="243" t="s">
        <v>277</v>
      </c>
      <c r="V252" s="244"/>
      <c r="W252" s="244"/>
      <c r="X252" s="244"/>
      <c r="Y252" s="244"/>
      <c r="Z252" s="244"/>
      <c r="AA252" s="244"/>
      <c r="AB252" s="243"/>
      <c r="AC252" s="243" t="s">
        <v>278</v>
      </c>
      <c r="AD252" s="244"/>
      <c r="AE252" s="244"/>
      <c r="AF252" s="248">
        <v>20250331</v>
      </c>
      <c r="AG252" s="244"/>
      <c r="AH252" s="244"/>
      <c r="AI252" s="249">
        <v>20250331</v>
      </c>
      <c r="AJ252" s="250"/>
      <c r="AK252" s="244">
        <v>8600669427</v>
      </c>
      <c r="AL252" s="250"/>
      <c r="AM252" s="244" t="s">
        <v>289</v>
      </c>
      <c r="AN252" s="244"/>
      <c r="AO252" s="234">
        <v>0</v>
      </c>
      <c r="AP252" s="232">
        <f t="shared" si="8"/>
        <v>2752100</v>
      </c>
      <c r="AQ252" s="230">
        <f t="shared" si="9"/>
        <v>3</v>
      </c>
    </row>
    <row r="253" spans="1:43" s="246" customFormat="1" ht="14.4">
      <c r="A253" s="242">
        <v>1</v>
      </c>
      <c r="B253" s="243" t="s">
        <v>273</v>
      </c>
      <c r="C253" s="244" t="s">
        <v>280</v>
      </c>
      <c r="D253" s="245">
        <v>45747</v>
      </c>
      <c r="E253" s="245">
        <v>45747</v>
      </c>
      <c r="F253" s="244" t="s">
        <v>281</v>
      </c>
      <c r="G253" s="242" t="s">
        <v>275</v>
      </c>
      <c r="H253" s="244"/>
      <c r="I253" s="246">
        <v>117</v>
      </c>
      <c r="J253" s="242" t="s">
        <v>276</v>
      </c>
      <c r="K253" s="244">
        <v>1533010002</v>
      </c>
      <c r="L253" s="244"/>
      <c r="M253" s="244"/>
      <c r="N253" s="244"/>
      <c r="O253" s="244"/>
      <c r="P253" s="244"/>
      <c r="Q253" s="244"/>
      <c r="R253" s="244"/>
      <c r="S253" s="244"/>
      <c r="T253" s="247">
        <v>-1423500</v>
      </c>
      <c r="U253" s="243" t="s">
        <v>277</v>
      </c>
      <c r="V253" s="244"/>
      <c r="W253" s="244"/>
      <c r="X253" s="244"/>
      <c r="Y253" s="244"/>
      <c r="Z253" s="244"/>
      <c r="AA253" s="244"/>
      <c r="AB253" s="243"/>
      <c r="AC253" s="243" t="s">
        <v>278</v>
      </c>
      <c r="AD253" s="244"/>
      <c r="AE253" s="244"/>
      <c r="AF253" s="248">
        <v>20250331</v>
      </c>
      <c r="AG253" s="244"/>
      <c r="AH253" s="244"/>
      <c r="AI253" s="249">
        <v>20250331</v>
      </c>
      <c r="AJ253" s="250"/>
      <c r="AK253" s="244">
        <v>8002492410</v>
      </c>
      <c r="AL253" s="250"/>
      <c r="AM253" s="244" t="s">
        <v>297</v>
      </c>
      <c r="AN253" s="244"/>
      <c r="AO253" s="234">
        <v>0</v>
      </c>
      <c r="AP253" s="232">
        <f t="shared" si="8"/>
        <v>1423500</v>
      </c>
      <c r="AQ253" s="230">
        <f t="shared" si="9"/>
        <v>3</v>
      </c>
    </row>
    <row r="254" spans="1:43" s="246" customFormat="1" ht="14.4">
      <c r="A254" s="242">
        <v>1</v>
      </c>
      <c r="B254" s="243" t="s">
        <v>273</v>
      </c>
      <c r="C254" s="244" t="s">
        <v>280</v>
      </c>
      <c r="D254" s="245">
        <v>45747</v>
      </c>
      <c r="E254" s="245">
        <v>45747</v>
      </c>
      <c r="F254" s="244" t="s">
        <v>281</v>
      </c>
      <c r="G254" s="242" t="s">
        <v>275</v>
      </c>
      <c r="H254" s="244"/>
      <c r="I254" s="246">
        <v>118</v>
      </c>
      <c r="J254" s="242" t="s">
        <v>276</v>
      </c>
      <c r="K254" s="244">
        <v>1533010002</v>
      </c>
      <c r="L254" s="244"/>
      <c r="M254" s="244"/>
      <c r="N254" s="244"/>
      <c r="O254" s="244"/>
      <c r="P254" s="244"/>
      <c r="Q254" s="244"/>
      <c r="R254" s="244"/>
      <c r="S254" s="244"/>
      <c r="T254" s="247">
        <v>-130000</v>
      </c>
      <c r="U254" s="243" t="s">
        <v>277</v>
      </c>
      <c r="V254" s="244"/>
      <c r="W254" s="244"/>
      <c r="X254" s="244"/>
      <c r="Y254" s="244"/>
      <c r="Z254" s="244"/>
      <c r="AA254" s="244"/>
      <c r="AB254" s="243"/>
      <c r="AC254" s="243" t="s">
        <v>278</v>
      </c>
      <c r="AD254" s="244"/>
      <c r="AE254" s="244"/>
      <c r="AF254" s="248">
        <v>20250331</v>
      </c>
      <c r="AG254" s="244"/>
      <c r="AH254" s="244"/>
      <c r="AI254" s="249">
        <v>20250331</v>
      </c>
      <c r="AJ254" s="250"/>
      <c r="AK254" s="244">
        <v>8002492410</v>
      </c>
      <c r="AL254" s="250"/>
      <c r="AM254" s="244" t="s">
        <v>297</v>
      </c>
      <c r="AN254" s="244"/>
      <c r="AO254" s="234">
        <v>0</v>
      </c>
      <c r="AP254" s="232">
        <f t="shared" si="8"/>
        <v>130000</v>
      </c>
      <c r="AQ254" s="230">
        <f t="shared" si="9"/>
        <v>3</v>
      </c>
    </row>
    <row r="255" spans="1:43" s="246" customFormat="1" ht="14.4">
      <c r="A255" s="242">
        <v>1</v>
      </c>
      <c r="B255" s="243" t="s">
        <v>273</v>
      </c>
      <c r="C255" s="244" t="s">
        <v>280</v>
      </c>
      <c r="D255" s="245">
        <v>45747</v>
      </c>
      <c r="E255" s="245">
        <v>45747</v>
      </c>
      <c r="F255" s="244" t="s">
        <v>281</v>
      </c>
      <c r="G255" s="242" t="s">
        <v>275</v>
      </c>
      <c r="H255" s="244"/>
      <c r="I255" s="246">
        <v>119</v>
      </c>
      <c r="J255" s="242" t="s">
        <v>276</v>
      </c>
      <c r="K255" s="244">
        <v>1533010002</v>
      </c>
      <c r="L255" s="244"/>
      <c r="M255" s="244"/>
      <c r="N255" s="244"/>
      <c r="O255" s="244"/>
      <c r="P255" s="244"/>
      <c r="Q255" s="244"/>
      <c r="R255" s="244"/>
      <c r="S255" s="244"/>
      <c r="T255" s="247">
        <v>-47450</v>
      </c>
      <c r="U255" s="243" t="s">
        <v>277</v>
      </c>
      <c r="V255" s="244"/>
      <c r="W255" s="244"/>
      <c r="X255" s="244"/>
      <c r="Y255" s="244"/>
      <c r="Z255" s="244"/>
      <c r="AA255" s="244"/>
      <c r="AB255" s="243"/>
      <c r="AC255" s="243" t="s">
        <v>278</v>
      </c>
      <c r="AD255" s="244"/>
      <c r="AE255" s="244"/>
      <c r="AF255" s="248">
        <v>20250331</v>
      </c>
      <c r="AG255" s="244"/>
      <c r="AH255" s="244"/>
      <c r="AI255" s="249">
        <v>20250331</v>
      </c>
      <c r="AJ255" s="250"/>
      <c r="AK255" s="244">
        <v>8002492410</v>
      </c>
      <c r="AL255" s="250"/>
      <c r="AM255" s="244" t="s">
        <v>297</v>
      </c>
      <c r="AN255" s="244"/>
      <c r="AO255" s="234">
        <v>0</v>
      </c>
      <c r="AP255" s="232">
        <f t="shared" si="8"/>
        <v>47450</v>
      </c>
      <c r="AQ255" s="230">
        <f t="shared" si="9"/>
        <v>3</v>
      </c>
    </row>
    <row r="256" spans="1:43" s="246" customFormat="1" ht="14.4">
      <c r="A256" s="242">
        <v>1</v>
      </c>
      <c r="B256" s="243" t="s">
        <v>273</v>
      </c>
      <c r="C256" s="244" t="s">
        <v>280</v>
      </c>
      <c r="D256" s="245">
        <v>45747</v>
      </c>
      <c r="E256" s="245">
        <v>45747</v>
      </c>
      <c r="F256" s="244" t="s">
        <v>281</v>
      </c>
      <c r="G256" s="242" t="s">
        <v>275</v>
      </c>
      <c r="H256" s="244"/>
      <c r="I256" s="246">
        <v>120</v>
      </c>
      <c r="J256" s="242" t="s">
        <v>276</v>
      </c>
      <c r="K256" s="244">
        <v>1533010002</v>
      </c>
      <c r="L256" s="244"/>
      <c r="M256" s="244"/>
      <c r="N256" s="244"/>
      <c r="O256" s="244"/>
      <c r="P256" s="244"/>
      <c r="Q256" s="244"/>
      <c r="R256" s="244"/>
      <c r="S256" s="244"/>
      <c r="T256" s="247">
        <v>-142350</v>
      </c>
      <c r="U256" s="243" t="s">
        <v>277</v>
      </c>
      <c r="V256" s="244"/>
      <c r="W256" s="244"/>
      <c r="X256" s="244"/>
      <c r="Y256" s="244"/>
      <c r="Z256" s="244"/>
      <c r="AA256" s="244"/>
      <c r="AB256" s="243"/>
      <c r="AC256" s="243" t="s">
        <v>278</v>
      </c>
      <c r="AD256" s="244"/>
      <c r="AE256" s="244"/>
      <c r="AF256" s="248">
        <v>20250331</v>
      </c>
      <c r="AG256" s="244"/>
      <c r="AH256" s="244"/>
      <c r="AI256" s="249">
        <v>20250331</v>
      </c>
      <c r="AJ256" s="250"/>
      <c r="AK256" s="244">
        <v>8002492410</v>
      </c>
      <c r="AL256" s="250"/>
      <c r="AM256" s="244" t="s">
        <v>297</v>
      </c>
      <c r="AN256" s="244"/>
      <c r="AO256" s="234">
        <v>0</v>
      </c>
      <c r="AP256" s="232">
        <f t="shared" si="8"/>
        <v>142350</v>
      </c>
      <c r="AQ256" s="230">
        <f t="shared" si="9"/>
        <v>3</v>
      </c>
    </row>
    <row r="257" spans="1:43" s="246" customFormat="1" ht="14.4">
      <c r="A257" s="242">
        <v>1</v>
      </c>
      <c r="B257" s="243" t="s">
        <v>273</v>
      </c>
      <c r="C257" s="244" t="s">
        <v>280</v>
      </c>
      <c r="D257" s="245">
        <v>45747</v>
      </c>
      <c r="E257" s="245">
        <v>45747</v>
      </c>
      <c r="F257" s="244" t="s">
        <v>281</v>
      </c>
      <c r="G257" s="242" t="s">
        <v>275</v>
      </c>
      <c r="H257" s="244"/>
      <c r="I257" s="246">
        <v>121</v>
      </c>
      <c r="J257" s="242" t="s">
        <v>276</v>
      </c>
      <c r="K257" s="244">
        <v>1533010002</v>
      </c>
      <c r="L257" s="244"/>
      <c r="M257" s="244"/>
      <c r="N257" s="244"/>
      <c r="O257" s="244"/>
      <c r="P257" s="244"/>
      <c r="Q257" s="244"/>
      <c r="R257" s="244"/>
      <c r="S257" s="244"/>
      <c r="T257" s="247">
        <v>-2116660</v>
      </c>
      <c r="U257" s="243" t="s">
        <v>277</v>
      </c>
      <c r="V257" s="244"/>
      <c r="W257" s="244"/>
      <c r="X257" s="244"/>
      <c r="Y257" s="244"/>
      <c r="Z257" s="244"/>
      <c r="AA257" s="244"/>
      <c r="AB257" s="243"/>
      <c r="AC257" s="243" t="s">
        <v>278</v>
      </c>
      <c r="AD257" s="244"/>
      <c r="AE257" s="244"/>
      <c r="AF257" s="248">
        <v>20250331</v>
      </c>
      <c r="AG257" s="244"/>
      <c r="AH257" s="244"/>
      <c r="AI257" s="249">
        <v>20250331</v>
      </c>
      <c r="AJ257" s="250"/>
      <c r="AK257" s="244">
        <v>8600021839</v>
      </c>
      <c r="AL257" s="250"/>
      <c r="AM257" s="244" t="s">
        <v>288</v>
      </c>
      <c r="AN257" s="244"/>
      <c r="AO257" s="234">
        <v>0</v>
      </c>
      <c r="AP257" s="232">
        <f t="shared" si="8"/>
        <v>2116660</v>
      </c>
      <c r="AQ257" s="230">
        <f t="shared" si="9"/>
        <v>3</v>
      </c>
    </row>
    <row r="258" spans="1:43" s="246" customFormat="1" ht="14.4">
      <c r="A258" s="242">
        <v>1</v>
      </c>
      <c r="B258" s="243" t="s">
        <v>273</v>
      </c>
      <c r="C258" s="244" t="s">
        <v>280</v>
      </c>
      <c r="D258" s="245">
        <v>45747</v>
      </c>
      <c r="E258" s="245">
        <v>45747</v>
      </c>
      <c r="F258" s="244" t="s">
        <v>281</v>
      </c>
      <c r="G258" s="242" t="s">
        <v>275</v>
      </c>
      <c r="H258" s="244"/>
      <c r="I258" s="246">
        <v>122</v>
      </c>
      <c r="J258" s="242" t="s">
        <v>276</v>
      </c>
      <c r="K258" s="244">
        <v>1533010002</v>
      </c>
      <c r="L258" s="244"/>
      <c r="M258" s="244"/>
      <c r="N258" s="244"/>
      <c r="O258" s="244"/>
      <c r="P258" s="244"/>
      <c r="Q258" s="244"/>
      <c r="R258" s="244"/>
      <c r="S258" s="244"/>
      <c r="T258" s="247">
        <v>-5635020</v>
      </c>
      <c r="U258" s="243" t="s">
        <v>277</v>
      </c>
      <c r="V258" s="244"/>
      <c r="W258" s="244"/>
      <c r="X258" s="244"/>
      <c r="Y258" s="244"/>
      <c r="Z258" s="244"/>
      <c r="AA258" s="244"/>
      <c r="AB258" s="243"/>
      <c r="AC258" s="243" t="s">
        <v>278</v>
      </c>
      <c r="AD258" s="244"/>
      <c r="AE258" s="244"/>
      <c r="AF258" s="248">
        <v>20250331</v>
      </c>
      <c r="AG258" s="244"/>
      <c r="AH258" s="244"/>
      <c r="AI258" s="249">
        <v>20250331</v>
      </c>
      <c r="AJ258" s="250"/>
      <c r="AK258" s="244">
        <v>8301138310</v>
      </c>
      <c r="AL258" s="250"/>
      <c r="AM258" s="244" t="s">
        <v>287</v>
      </c>
      <c r="AN258" s="244"/>
      <c r="AO258" s="234">
        <v>0</v>
      </c>
      <c r="AP258" s="232">
        <f t="shared" si="8"/>
        <v>5635020</v>
      </c>
      <c r="AQ258" s="230">
        <f t="shared" si="9"/>
        <v>3</v>
      </c>
    </row>
    <row r="259" spans="1:43" s="246" customFormat="1" ht="14.4">
      <c r="A259" s="242">
        <v>1</v>
      </c>
      <c r="B259" s="243" t="s">
        <v>273</v>
      </c>
      <c r="C259" s="244" t="s">
        <v>280</v>
      </c>
      <c r="D259" s="245">
        <v>45747</v>
      </c>
      <c r="E259" s="245">
        <v>45747</v>
      </c>
      <c r="F259" s="244" t="s">
        <v>281</v>
      </c>
      <c r="G259" s="242" t="s">
        <v>275</v>
      </c>
      <c r="H259" s="244"/>
      <c r="I259" s="246">
        <v>123</v>
      </c>
      <c r="J259" s="242" t="s">
        <v>276</v>
      </c>
      <c r="K259" s="244">
        <v>1533010002</v>
      </c>
      <c r="L259" s="244"/>
      <c r="M259" s="244"/>
      <c r="N259" s="244"/>
      <c r="O259" s="244"/>
      <c r="P259" s="244"/>
      <c r="Q259" s="244"/>
      <c r="R259" s="244"/>
      <c r="S259" s="244"/>
      <c r="T259" s="247">
        <v>-3199388</v>
      </c>
      <c r="U259" s="243" t="s">
        <v>277</v>
      </c>
      <c r="V259" s="244"/>
      <c r="W259" s="244"/>
      <c r="X259" s="244"/>
      <c r="Y259" s="244"/>
      <c r="Z259" s="244"/>
      <c r="AA259" s="244"/>
      <c r="AB259" s="243"/>
      <c r="AC259" s="243" t="s">
        <v>278</v>
      </c>
      <c r="AD259" s="244"/>
      <c r="AE259" s="244"/>
      <c r="AF259" s="248">
        <v>20250331</v>
      </c>
      <c r="AG259" s="244"/>
      <c r="AH259" s="244"/>
      <c r="AI259" s="249">
        <v>20250331</v>
      </c>
      <c r="AJ259" s="250"/>
      <c r="AK259" s="244">
        <v>8002514406</v>
      </c>
      <c r="AL259" s="250"/>
      <c r="AM259" s="244" t="s">
        <v>283</v>
      </c>
      <c r="AN259" s="244"/>
      <c r="AO259" s="234">
        <v>0</v>
      </c>
      <c r="AP259" s="232">
        <f t="shared" ref="AP259:AP269" si="10">+ABS(T259)</f>
        <v>3199388</v>
      </c>
      <c r="AQ259" s="230">
        <f t="shared" ref="AQ259:AQ322" si="11">+MONTH(D259)</f>
        <v>3</v>
      </c>
    </row>
    <row r="260" spans="1:43" s="246" customFormat="1" ht="14.4">
      <c r="A260" s="242">
        <v>1</v>
      </c>
      <c r="B260" s="243" t="s">
        <v>273</v>
      </c>
      <c r="C260" s="244" t="s">
        <v>280</v>
      </c>
      <c r="D260" s="245">
        <v>45747</v>
      </c>
      <c r="E260" s="245">
        <v>45747</v>
      </c>
      <c r="F260" s="244" t="s">
        <v>281</v>
      </c>
      <c r="G260" s="242" t="s">
        <v>275</v>
      </c>
      <c r="H260" s="244"/>
      <c r="I260" s="246">
        <v>124</v>
      </c>
      <c r="J260" s="242" t="s">
        <v>276</v>
      </c>
      <c r="K260" s="244">
        <v>1533010002</v>
      </c>
      <c r="L260" s="244"/>
      <c r="M260" s="244"/>
      <c r="N260" s="244"/>
      <c r="O260" s="244"/>
      <c r="P260" s="244"/>
      <c r="Q260" s="244"/>
      <c r="R260" s="244"/>
      <c r="S260" s="244"/>
      <c r="T260" s="247">
        <v>-86666</v>
      </c>
      <c r="U260" s="243" t="s">
        <v>277</v>
      </c>
      <c r="V260" s="244"/>
      <c r="W260" s="244"/>
      <c r="X260" s="244"/>
      <c r="Y260" s="244"/>
      <c r="Z260" s="244"/>
      <c r="AA260" s="244"/>
      <c r="AB260" s="243"/>
      <c r="AC260" s="243" t="s">
        <v>278</v>
      </c>
      <c r="AD260" s="244"/>
      <c r="AE260" s="244"/>
      <c r="AF260" s="248">
        <v>20250331</v>
      </c>
      <c r="AG260" s="244"/>
      <c r="AH260" s="244"/>
      <c r="AI260" s="249">
        <v>20250331</v>
      </c>
      <c r="AJ260" s="250"/>
      <c r="AK260" s="244">
        <v>8240013981</v>
      </c>
      <c r="AL260" s="250"/>
      <c r="AM260" s="244" t="s">
        <v>314</v>
      </c>
      <c r="AN260" s="244"/>
      <c r="AO260" s="234">
        <v>0</v>
      </c>
      <c r="AP260" s="232">
        <f t="shared" si="10"/>
        <v>86666</v>
      </c>
      <c r="AQ260" s="230">
        <f t="shared" si="11"/>
        <v>3</v>
      </c>
    </row>
    <row r="261" spans="1:43" s="246" customFormat="1" ht="14.4">
      <c r="A261" s="242">
        <v>1</v>
      </c>
      <c r="B261" s="243" t="s">
        <v>273</v>
      </c>
      <c r="C261" s="244" t="s">
        <v>280</v>
      </c>
      <c r="D261" s="245">
        <v>45747</v>
      </c>
      <c r="E261" s="245">
        <v>45747</v>
      </c>
      <c r="F261" s="244" t="s">
        <v>281</v>
      </c>
      <c r="G261" s="242" t="s">
        <v>275</v>
      </c>
      <c r="H261" s="244"/>
      <c r="I261" s="246">
        <v>125</v>
      </c>
      <c r="J261" s="242" t="s">
        <v>276</v>
      </c>
      <c r="K261" s="244">
        <v>1533010002</v>
      </c>
      <c r="L261" s="244"/>
      <c r="M261" s="244"/>
      <c r="N261" s="244"/>
      <c r="O261" s="244"/>
      <c r="P261" s="244"/>
      <c r="Q261" s="244"/>
      <c r="R261" s="244"/>
      <c r="S261" s="244"/>
      <c r="T261" s="247">
        <v>-142350</v>
      </c>
      <c r="U261" s="243" t="s">
        <v>277</v>
      </c>
      <c r="V261" s="244"/>
      <c r="W261" s="244"/>
      <c r="X261" s="244"/>
      <c r="Y261" s="244"/>
      <c r="Z261" s="244"/>
      <c r="AA261" s="244"/>
      <c r="AB261" s="243"/>
      <c r="AC261" s="243" t="s">
        <v>278</v>
      </c>
      <c r="AD261" s="244"/>
      <c r="AE261" s="244"/>
      <c r="AF261" s="248">
        <v>20250331</v>
      </c>
      <c r="AG261" s="244"/>
      <c r="AH261" s="244"/>
      <c r="AI261" s="249">
        <v>20250331</v>
      </c>
      <c r="AJ261" s="250"/>
      <c r="AK261" s="244">
        <v>8050011572</v>
      </c>
      <c r="AL261" s="250"/>
      <c r="AM261" s="244" t="s">
        <v>284</v>
      </c>
      <c r="AN261" s="244"/>
      <c r="AO261" s="234">
        <v>0</v>
      </c>
      <c r="AP261" s="232">
        <f t="shared" si="10"/>
        <v>142350</v>
      </c>
      <c r="AQ261" s="230">
        <f t="shared" si="11"/>
        <v>3</v>
      </c>
    </row>
    <row r="262" spans="1:43" s="246" customFormat="1" ht="14.4">
      <c r="A262" s="242">
        <v>1</v>
      </c>
      <c r="B262" s="243" t="s">
        <v>273</v>
      </c>
      <c r="C262" s="244" t="s">
        <v>280</v>
      </c>
      <c r="D262" s="245">
        <v>45747</v>
      </c>
      <c r="E262" s="245">
        <v>45747</v>
      </c>
      <c r="F262" s="244" t="s">
        <v>281</v>
      </c>
      <c r="G262" s="242" t="s">
        <v>275</v>
      </c>
      <c r="H262" s="244"/>
      <c r="I262" s="246">
        <v>126</v>
      </c>
      <c r="J262" s="242" t="s">
        <v>276</v>
      </c>
      <c r="K262" s="244">
        <v>1533010002</v>
      </c>
      <c r="L262" s="244"/>
      <c r="M262" s="244"/>
      <c r="N262" s="244"/>
      <c r="O262" s="244"/>
      <c r="P262" s="244"/>
      <c r="Q262" s="244"/>
      <c r="R262" s="244"/>
      <c r="S262" s="244"/>
      <c r="T262" s="247">
        <v>-1433613</v>
      </c>
      <c r="U262" s="243" t="s">
        <v>277</v>
      </c>
      <c r="V262" s="244"/>
      <c r="W262" s="244"/>
      <c r="X262" s="244"/>
      <c r="Y262" s="244"/>
      <c r="Z262" s="244"/>
      <c r="AA262" s="244"/>
      <c r="AB262" s="243"/>
      <c r="AC262" s="243" t="s">
        <v>278</v>
      </c>
      <c r="AD262" s="244"/>
      <c r="AE262" s="244"/>
      <c r="AF262" s="248">
        <v>20250331</v>
      </c>
      <c r="AG262" s="244"/>
      <c r="AH262" s="244"/>
      <c r="AI262" s="249">
        <v>20250331</v>
      </c>
      <c r="AJ262" s="250"/>
      <c r="AK262" s="244">
        <v>8600021839</v>
      </c>
      <c r="AL262" s="250"/>
      <c r="AM262" s="244" t="s">
        <v>288</v>
      </c>
      <c r="AN262" s="244"/>
      <c r="AO262" s="234">
        <v>0</v>
      </c>
      <c r="AP262" s="232">
        <f t="shared" si="10"/>
        <v>1433613</v>
      </c>
      <c r="AQ262" s="230">
        <f t="shared" si="11"/>
        <v>3</v>
      </c>
    </row>
    <row r="263" spans="1:43" s="246" customFormat="1" ht="14.4">
      <c r="A263" s="242">
        <v>1</v>
      </c>
      <c r="B263" s="243" t="s">
        <v>273</v>
      </c>
      <c r="C263" s="244" t="s">
        <v>280</v>
      </c>
      <c r="D263" s="245">
        <v>45747</v>
      </c>
      <c r="E263" s="245">
        <v>45747</v>
      </c>
      <c r="F263" s="244" t="s">
        <v>281</v>
      </c>
      <c r="G263" s="242" t="s">
        <v>275</v>
      </c>
      <c r="H263" s="244"/>
      <c r="I263" s="246">
        <v>127</v>
      </c>
      <c r="J263" s="242" t="s">
        <v>276</v>
      </c>
      <c r="K263" s="244">
        <v>1533010002</v>
      </c>
      <c r="L263" s="244"/>
      <c r="M263" s="244"/>
      <c r="N263" s="244"/>
      <c r="O263" s="244"/>
      <c r="P263" s="244"/>
      <c r="Q263" s="244"/>
      <c r="R263" s="244"/>
      <c r="S263" s="244"/>
      <c r="T263" s="247">
        <v>-142350</v>
      </c>
      <c r="U263" s="243" t="s">
        <v>277</v>
      </c>
      <c r="V263" s="244"/>
      <c r="W263" s="244"/>
      <c r="X263" s="244"/>
      <c r="Y263" s="244"/>
      <c r="Z263" s="244"/>
      <c r="AA263" s="244"/>
      <c r="AB263" s="243"/>
      <c r="AC263" s="243" t="s">
        <v>278</v>
      </c>
      <c r="AD263" s="244"/>
      <c r="AE263" s="244"/>
      <c r="AF263" s="248">
        <v>20250331</v>
      </c>
      <c r="AG263" s="244"/>
      <c r="AH263" s="244"/>
      <c r="AI263" s="249">
        <v>20250331</v>
      </c>
      <c r="AJ263" s="250"/>
      <c r="AK263" s="244">
        <v>8002514406</v>
      </c>
      <c r="AL263" s="250"/>
      <c r="AM263" s="244" t="s">
        <v>283</v>
      </c>
      <c r="AN263" s="244"/>
      <c r="AO263" s="234">
        <v>0</v>
      </c>
      <c r="AP263" s="232">
        <f t="shared" si="10"/>
        <v>142350</v>
      </c>
      <c r="AQ263" s="230">
        <f t="shared" si="11"/>
        <v>3</v>
      </c>
    </row>
    <row r="264" spans="1:43" s="246" customFormat="1" ht="14.4">
      <c r="A264" s="242">
        <v>1</v>
      </c>
      <c r="B264" s="243" t="s">
        <v>273</v>
      </c>
      <c r="C264" s="244" t="s">
        <v>280</v>
      </c>
      <c r="D264" s="245">
        <v>45747</v>
      </c>
      <c r="E264" s="245">
        <v>45747</v>
      </c>
      <c r="F264" s="244" t="s">
        <v>281</v>
      </c>
      <c r="G264" s="242" t="s">
        <v>275</v>
      </c>
      <c r="H264" s="244"/>
      <c r="I264" s="246">
        <v>128</v>
      </c>
      <c r="J264" s="242" t="s">
        <v>276</v>
      </c>
      <c r="K264" s="244">
        <v>1533010002</v>
      </c>
      <c r="L264" s="244"/>
      <c r="M264" s="244"/>
      <c r="N264" s="244"/>
      <c r="O264" s="244"/>
      <c r="P264" s="244"/>
      <c r="Q264" s="244"/>
      <c r="R264" s="244"/>
      <c r="S264" s="244"/>
      <c r="T264" s="247">
        <v>-1752425</v>
      </c>
      <c r="U264" s="243" t="s">
        <v>277</v>
      </c>
      <c r="V264" s="244"/>
      <c r="W264" s="244"/>
      <c r="X264" s="244"/>
      <c r="Y264" s="244"/>
      <c r="Z264" s="244"/>
      <c r="AA264" s="244"/>
      <c r="AB264" s="243"/>
      <c r="AC264" s="243" t="s">
        <v>278</v>
      </c>
      <c r="AD264" s="244"/>
      <c r="AE264" s="244"/>
      <c r="AF264" s="248">
        <v>20250331</v>
      </c>
      <c r="AG264" s="244"/>
      <c r="AH264" s="244"/>
      <c r="AI264" s="249">
        <v>20250331</v>
      </c>
      <c r="AJ264" s="250"/>
      <c r="AK264" s="244">
        <v>8000887022</v>
      </c>
      <c r="AL264" s="250"/>
      <c r="AM264" s="244" t="s">
        <v>292</v>
      </c>
      <c r="AN264" s="244"/>
      <c r="AO264" s="234">
        <v>0</v>
      </c>
      <c r="AP264" s="232">
        <f t="shared" si="10"/>
        <v>1752425</v>
      </c>
      <c r="AQ264" s="230">
        <f t="shared" si="11"/>
        <v>3</v>
      </c>
    </row>
    <row r="265" spans="1:43" s="246" customFormat="1" ht="14.4">
      <c r="A265" s="242">
        <v>1</v>
      </c>
      <c r="B265" s="243" t="s">
        <v>273</v>
      </c>
      <c r="C265" s="244" t="s">
        <v>280</v>
      </c>
      <c r="D265" s="245">
        <v>45747</v>
      </c>
      <c r="E265" s="245">
        <v>45747</v>
      </c>
      <c r="F265" s="244" t="s">
        <v>281</v>
      </c>
      <c r="G265" s="242" t="s">
        <v>275</v>
      </c>
      <c r="H265" s="244"/>
      <c r="I265" s="246">
        <v>129</v>
      </c>
      <c r="J265" s="242" t="s">
        <v>276</v>
      </c>
      <c r="K265" s="244">
        <v>1533010002</v>
      </c>
      <c r="L265" s="244"/>
      <c r="M265" s="244"/>
      <c r="N265" s="244"/>
      <c r="O265" s="244"/>
      <c r="P265" s="244"/>
      <c r="Q265" s="244"/>
      <c r="R265" s="244"/>
      <c r="S265" s="244"/>
      <c r="T265" s="247">
        <v>-11786783</v>
      </c>
      <c r="U265" s="243" t="s">
        <v>277</v>
      </c>
      <c r="V265" s="244"/>
      <c r="W265" s="244"/>
      <c r="X265" s="244"/>
      <c r="Y265" s="244"/>
      <c r="Z265" s="244"/>
      <c r="AA265" s="244"/>
      <c r="AB265" s="243"/>
      <c r="AC265" s="243" t="s">
        <v>278</v>
      </c>
      <c r="AD265" s="244"/>
      <c r="AE265" s="244"/>
      <c r="AF265" s="248">
        <v>20250331</v>
      </c>
      <c r="AG265" s="244"/>
      <c r="AH265" s="244"/>
      <c r="AI265" s="249">
        <v>20250331</v>
      </c>
      <c r="AJ265" s="250"/>
      <c r="AK265" s="244">
        <v>8002514406</v>
      </c>
      <c r="AL265" s="250"/>
      <c r="AM265" s="244" t="s">
        <v>283</v>
      </c>
      <c r="AN265" s="244"/>
      <c r="AO265" s="234">
        <v>0</v>
      </c>
      <c r="AP265" s="232">
        <f t="shared" si="10"/>
        <v>11786783</v>
      </c>
      <c r="AQ265" s="230">
        <f t="shared" si="11"/>
        <v>3</v>
      </c>
    </row>
    <row r="266" spans="1:43" s="246" customFormat="1" ht="14.4">
      <c r="A266" s="242">
        <v>1</v>
      </c>
      <c r="B266" s="243" t="s">
        <v>273</v>
      </c>
      <c r="C266" s="244" t="s">
        <v>280</v>
      </c>
      <c r="D266" s="245">
        <v>45747</v>
      </c>
      <c r="E266" s="245">
        <v>45747</v>
      </c>
      <c r="F266" s="244" t="s">
        <v>281</v>
      </c>
      <c r="G266" s="242" t="s">
        <v>275</v>
      </c>
      <c r="H266" s="244"/>
      <c r="I266" s="246">
        <v>130</v>
      </c>
      <c r="J266" s="242" t="s">
        <v>276</v>
      </c>
      <c r="K266" s="244">
        <v>1533010002</v>
      </c>
      <c r="L266" s="244"/>
      <c r="M266" s="244"/>
      <c r="N266" s="244"/>
      <c r="O266" s="244"/>
      <c r="P266" s="244"/>
      <c r="Q266" s="244"/>
      <c r="R266" s="244"/>
      <c r="S266" s="244"/>
      <c r="T266" s="247">
        <v>-8387719</v>
      </c>
      <c r="U266" s="243" t="s">
        <v>277</v>
      </c>
      <c r="V266" s="244"/>
      <c r="W266" s="244"/>
      <c r="X266" s="244"/>
      <c r="Y266" s="244"/>
      <c r="Z266" s="244"/>
      <c r="AA266" s="244"/>
      <c r="AB266" s="243"/>
      <c r="AC266" s="243" t="s">
        <v>278</v>
      </c>
      <c r="AD266" s="244"/>
      <c r="AE266" s="244"/>
      <c r="AF266" s="248">
        <v>20250331</v>
      </c>
      <c r="AG266" s="244"/>
      <c r="AH266" s="244"/>
      <c r="AI266" s="249">
        <v>20250331</v>
      </c>
      <c r="AJ266" s="250"/>
      <c r="AK266" s="244">
        <v>8600021839</v>
      </c>
      <c r="AL266" s="250"/>
      <c r="AM266" s="244" t="s">
        <v>288</v>
      </c>
      <c r="AN266" s="244"/>
      <c r="AO266" s="234">
        <v>0</v>
      </c>
      <c r="AP266" s="232">
        <f t="shared" si="10"/>
        <v>8387719</v>
      </c>
      <c r="AQ266" s="230">
        <f t="shared" si="11"/>
        <v>3</v>
      </c>
    </row>
    <row r="267" spans="1:43" s="246" customFormat="1" ht="14.4">
      <c r="A267" s="242">
        <v>1</v>
      </c>
      <c r="B267" s="243" t="s">
        <v>273</v>
      </c>
      <c r="C267" s="244" t="s">
        <v>280</v>
      </c>
      <c r="D267" s="245">
        <v>45747</v>
      </c>
      <c r="E267" s="245">
        <v>45747</v>
      </c>
      <c r="F267" s="244" t="s">
        <v>281</v>
      </c>
      <c r="G267" s="242" t="s">
        <v>275</v>
      </c>
      <c r="H267" s="244"/>
      <c r="I267" s="246">
        <v>131</v>
      </c>
      <c r="J267" s="242" t="s">
        <v>276</v>
      </c>
      <c r="K267" s="244">
        <v>1533010002</v>
      </c>
      <c r="L267" s="244"/>
      <c r="M267" s="244"/>
      <c r="N267" s="244"/>
      <c r="O267" s="244"/>
      <c r="P267" s="244"/>
      <c r="Q267" s="244"/>
      <c r="R267" s="244"/>
      <c r="S267" s="244"/>
      <c r="T267" s="247">
        <v>-1822426</v>
      </c>
      <c r="U267" s="243" t="s">
        <v>277</v>
      </c>
      <c r="V267" s="244"/>
      <c r="W267" s="244"/>
      <c r="X267" s="244"/>
      <c r="Y267" s="244"/>
      <c r="Z267" s="244"/>
      <c r="AA267" s="244"/>
      <c r="AB267" s="243"/>
      <c r="AC267" s="243" t="s">
        <v>278</v>
      </c>
      <c r="AD267" s="244"/>
      <c r="AE267" s="244"/>
      <c r="AF267" s="248">
        <v>20250331</v>
      </c>
      <c r="AG267" s="244"/>
      <c r="AH267" s="244"/>
      <c r="AI267" s="249">
        <v>20250331</v>
      </c>
      <c r="AJ267" s="250"/>
      <c r="AK267" s="244">
        <v>8600669427</v>
      </c>
      <c r="AL267" s="250"/>
      <c r="AM267" s="244" t="s">
        <v>289</v>
      </c>
      <c r="AN267" s="244"/>
      <c r="AO267" s="234">
        <v>0</v>
      </c>
      <c r="AP267" s="232">
        <f t="shared" si="10"/>
        <v>1822426</v>
      </c>
      <c r="AQ267" s="230">
        <f t="shared" si="11"/>
        <v>3</v>
      </c>
    </row>
    <row r="268" spans="1:43" s="246" customFormat="1" ht="14.4">
      <c r="A268" s="242">
        <v>1</v>
      </c>
      <c r="B268" s="243" t="s">
        <v>273</v>
      </c>
      <c r="C268" s="244" t="s">
        <v>280</v>
      </c>
      <c r="D268" s="245">
        <v>45747</v>
      </c>
      <c r="E268" s="245">
        <v>45747</v>
      </c>
      <c r="F268" s="244" t="s">
        <v>281</v>
      </c>
      <c r="G268" s="242" t="s">
        <v>275</v>
      </c>
      <c r="H268" s="244"/>
      <c r="I268" s="246">
        <v>132</v>
      </c>
      <c r="J268" s="242" t="s">
        <v>276</v>
      </c>
      <c r="K268" s="244">
        <v>1533010002</v>
      </c>
      <c r="L268" s="244"/>
      <c r="M268" s="244"/>
      <c r="N268" s="244"/>
      <c r="O268" s="244"/>
      <c r="P268" s="244"/>
      <c r="Q268" s="244"/>
      <c r="R268" s="244"/>
      <c r="S268" s="244"/>
      <c r="T268" s="247">
        <v>-470383</v>
      </c>
      <c r="U268" s="243" t="s">
        <v>277</v>
      </c>
      <c r="V268" s="244"/>
      <c r="W268" s="244"/>
      <c r="X268" s="244"/>
      <c r="Y268" s="244"/>
      <c r="Z268" s="244"/>
      <c r="AA268" s="244"/>
      <c r="AB268" s="243"/>
      <c r="AC268" s="243" t="s">
        <v>278</v>
      </c>
      <c r="AD268" s="244"/>
      <c r="AE268" s="244"/>
      <c r="AF268" s="248">
        <v>20250331</v>
      </c>
      <c r="AG268" s="244"/>
      <c r="AH268" s="244"/>
      <c r="AI268" s="249">
        <v>20250331</v>
      </c>
      <c r="AJ268" s="250"/>
      <c r="AK268" s="244">
        <v>8300035647</v>
      </c>
      <c r="AL268" s="250"/>
      <c r="AM268" s="244" t="s">
        <v>286</v>
      </c>
      <c r="AN268" s="244"/>
      <c r="AO268" s="234">
        <v>0</v>
      </c>
      <c r="AP268" s="232">
        <f t="shared" si="10"/>
        <v>470383</v>
      </c>
      <c r="AQ268" s="230">
        <f t="shared" si="11"/>
        <v>3</v>
      </c>
    </row>
    <row r="269" spans="1:43" s="246" customFormat="1" ht="14.4">
      <c r="A269" s="242">
        <v>1</v>
      </c>
      <c r="B269" s="243" t="s">
        <v>273</v>
      </c>
      <c r="C269" s="244" t="s">
        <v>280</v>
      </c>
      <c r="D269" s="245">
        <v>45747</v>
      </c>
      <c r="E269" s="245">
        <v>45747</v>
      </c>
      <c r="F269" s="244" t="s">
        <v>281</v>
      </c>
      <c r="G269" s="242" t="s">
        <v>275</v>
      </c>
      <c r="H269" s="244"/>
      <c r="I269" s="246">
        <f>+ROW()-1</f>
        <v>268</v>
      </c>
      <c r="J269" s="242" t="s">
        <v>276</v>
      </c>
      <c r="K269" s="244">
        <v>1533010002</v>
      </c>
      <c r="L269" s="244"/>
      <c r="M269" s="244"/>
      <c r="N269" s="244"/>
      <c r="O269" s="244"/>
      <c r="P269" s="244"/>
      <c r="Q269" s="244"/>
      <c r="R269" s="244"/>
      <c r="S269" s="244"/>
      <c r="T269" s="247">
        <v>-346672</v>
      </c>
      <c r="U269" s="243" t="s">
        <v>277</v>
      </c>
      <c r="V269" s="244"/>
      <c r="W269" s="244"/>
      <c r="X269" s="244"/>
      <c r="Y269" s="244"/>
      <c r="Z269" s="244"/>
      <c r="AA269" s="244"/>
      <c r="AB269" s="243"/>
      <c r="AC269" s="243" t="s">
        <v>278</v>
      </c>
      <c r="AD269" s="244"/>
      <c r="AE269" s="244"/>
      <c r="AF269" s="248">
        <v>20250331</v>
      </c>
      <c r="AG269" s="244"/>
      <c r="AH269" s="244"/>
      <c r="AI269" s="249">
        <v>20250331</v>
      </c>
      <c r="AJ269" s="250"/>
      <c r="AK269" s="244">
        <v>8903030935</v>
      </c>
      <c r="AL269" s="250"/>
      <c r="AM269" s="244" t="s">
        <v>315</v>
      </c>
      <c r="AN269" s="244"/>
      <c r="AO269" s="234">
        <v>0</v>
      </c>
      <c r="AP269" s="232">
        <f t="shared" si="10"/>
        <v>346672</v>
      </c>
      <c r="AQ269" s="230">
        <f t="shared" si="11"/>
        <v>3</v>
      </c>
    </row>
    <row r="270" spans="1:43" s="246" customFormat="1" ht="14.4">
      <c r="A270" s="242">
        <v>1</v>
      </c>
      <c r="B270" s="243" t="s">
        <v>273</v>
      </c>
      <c r="C270" s="244" t="s">
        <v>280</v>
      </c>
      <c r="D270" s="245">
        <v>45777</v>
      </c>
      <c r="E270" s="245">
        <v>45777</v>
      </c>
      <c r="F270" s="244" t="s">
        <v>281</v>
      </c>
      <c r="G270" s="242" t="s">
        <v>275</v>
      </c>
      <c r="H270" s="244"/>
      <c r="I270" s="246">
        <v>60</v>
      </c>
      <c r="J270" s="242" t="s">
        <v>276</v>
      </c>
      <c r="K270" s="244">
        <v>1533010002</v>
      </c>
      <c r="L270" s="244"/>
      <c r="M270" s="244"/>
      <c r="N270" s="244"/>
      <c r="O270" s="244"/>
      <c r="P270" s="244"/>
      <c r="Q270" s="244"/>
      <c r="R270" s="244"/>
      <c r="S270" s="244"/>
      <c r="T270" s="247">
        <v>-2563067</v>
      </c>
      <c r="U270" s="243" t="s">
        <v>277</v>
      </c>
      <c r="V270" s="244"/>
      <c r="W270" s="244"/>
      <c r="X270" s="244"/>
      <c r="Y270" s="244"/>
      <c r="Z270" s="244"/>
      <c r="AA270" s="244"/>
      <c r="AB270" s="243"/>
      <c r="AC270" s="243" t="s">
        <v>278</v>
      </c>
      <c r="AD270" s="244"/>
      <c r="AE270" s="244"/>
      <c r="AF270" s="248">
        <v>20250430</v>
      </c>
      <c r="AG270" s="244"/>
      <c r="AH270" s="244"/>
      <c r="AI270" s="249">
        <v>20250430</v>
      </c>
      <c r="AJ270" s="250"/>
      <c r="AK270" s="244">
        <v>8301138310</v>
      </c>
      <c r="AL270" s="250"/>
      <c r="AM270" s="244" t="s">
        <v>287</v>
      </c>
      <c r="AN270" s="244"/>
      <c r="AO270" s="234">
        <v>0</v>
      </c>
      <c r="AP270" s="232">
        <f t="shared" ref="AP270:AP328" si="12">+ABS(T270)</f>
        <v>2563067</v>
      </c>
      <c r="AQ270" s="230">
        <f t="shared" si="11"/>
        <v>4</v>
      </c>
    </row>
    <row r="271" spans="1:43" s="246" customFormat="1" ht="14.4">
      <c r="A271" s="242">
        <v>1</v>
      </c>
      <c r="B271" s="243" t="s">
        <v>273</v>
      </c>
      <c r="C271" s="244" t="s">
        <v>280</v>
      </c>
      <c r="D271" s="245">
        <v>45777</v>
      </c>
      <c r="E271" s="245">
        <v>45777</v>
      </c>
      <c r="F271" s="244" t="s">
        <v>281</v>
      </c>
      <c r="G271" s="242" t="s">
        <v>275</v>
      </c>
      <c r="H271" s="244"/>
      <c r="I271" s="246">
        <v>61</v>
      </c>
      <c r="J271" s="242" t="s">
        <v>276</v>
      </c>
      <c r="K271" s="244">
        <v>1533010002</v>
      </c>
      <c r="L271" s="244"/>
      <c r="M271" s="244"/>
      <c r="N271" s="244"/>
      <c r="O271" s="244"/>
      <c r="P271" s="244"/>
      <c r="Q271" s="244"/>
      <c r="R271" s="244"/>
      <c r="S271" s="244"/>
      <c r="T271" s="247">
        <v>-86668</v>
      </c>
      <c r="U271" s="243" t="s">
        <v>277</v>
      </c>
      <c r="V271" s="244"/>
      <c r="W271" s="244"/>
      <c r="X271" s="244"/>
      <c r="Y271" s="244"/>
      <c r="Z271" s="244"/>
      <c r="AA271" s="244"/>
      <c r="AB271" s="243"/>
      <c r="AC271" s="243" t="s">
        <v>278</v>
      </c>
      <c r="AD271" s="244"/>
      <c r="AE271" s="244"/>
      <c r="AF271" s="248">
        <v>20250430</v>
      </c>
      <c r="AG271" s="244"/>
      <c r="AH271" s="244"/>
      <c r="AI271" s="249">
        <v>20250430</v>
      </c>
      <c r="AJ271" s="250"/>
      <c r="AK271" s="244">
        <v>8140003371</v>
      </c>
      <c r="AL271" s="250"/>
      <c r="AM271" s="244" t="s">
        <v>285</v>
      </c>
      <c r="AN271" s="244"/>
      <c r="AO271" s="234">
        <v>0</v>
      </c>
      <c r="AP271" s="232">
        <f t="shared" si="12"/>
        <v>86668</v>
      </c>
      <c r="AQ271" s="230">
        <f t="shared" si="11"/>
        <v>4</v>
      </c>
    </row>
    <row r="272" spans="1:43" s="246" customFormat="1" ht="14.4">
      <c r="A272" s="242">
        <v>1</v>
      </c>
      <c r="B272" s="243" t="s">
        <v>273</v>
      </c>
      <c r="C272" s="244" t="s">
        <v>280</v>
      </c>
      <c r="D272" s="245">
        <v>45777</v>
      </c>
      <c r="E272" s="245">
        <v>45777</v>
      </c>
      <c r="F272" s="244" t="s">
        <v>281</v>
      </c>
      <c r="G272" s="242" t="s">
        <v>275</v>
      </c>
      <c r="H272" s="244"/>
      <c r="I272" s="246">
        <v>62</v>
      </c>
      <c r="J272" s="242" t="s">
        <v>276</v>
      </c>
      <c r="K272" s="244">
        <v>1533010002</v>
      </c>
      <c r="L272" s="244"/>
      <c r="M272" s="244"/>
      <c r="N272" s="244"/>
      <c r="O272" s="244"/>
      <c r="P272" s="244"/>
      <c r="Q272" s="244"/>
      <c r="R272" s="244"/>
      <c r="S272" s="244"/>
      <c r="T272" s="247">
        <v>-5633429</v>
      </c>
      <c r="U272" s="243" t="s">
        <v>277</v>
      </c>
      <c r="V272" s="244"/>
      <c r="W272" s="244"/>
      <c r="X272" s="244"/>
      <c r="Y272" s="244"/>
      <c r="Z272" s="244"/>
      <c r="AA272" s="244"/>
      <c r="AB272" s="243"/>
      <c r="AC272" s="243" t="s">
        <v>278</v>
      </c>
      <c r="AD272" s="244"/>
      <c r="AE272" s="244"/>
      <c r="AF272" s="248">
        <v>20250430</v>
      </c>
      <c r="AG272" s="244"/>
      <c r="AH272" s="244"/>
      <c r="AI272" s="249">
        <v>20250430</v>
      </c>
      <c r="AJ272" s="250"/>
      <c r="AK272" s="244">
        <v>9001562642</v>
      </c>
      <c r="AL272" s="250"/>
      <c r="AM272" s="244" t="s">
        <v>316</v>
      </c>
      <c r="AN272" s="244"/>
      <c r="AO272" s="234">
        <v>0</v>
      </c>
      <c r="AP272" s="232">
        <f t="shared" si="12"/>
        <v>5633429</v>
      </c>
      <c r="AQ272" s="230">
        <f t="shared" si="11"/>
        <v>4</v>
      </c>
    </row>
    <row r="273" spans="1:43" s="246" customFormat="1" ht="14.4">
      <c r="A273" s="242">
        <v>1</v>
      </c>
      <c r="B273" s="243" t="s">
        <v>273</v>
      </c>
      <c r="C273" s="244" t="s">
        <v>280</v>
      </c>
      <c r="D273" s="245">
        <v>45777</v>
      </c>
      <c r="E273" s="245">
        <v>45777</v>
      </c>
      <c r="F273" s="244" t="s">
        <v>281</v>
      </c>
      <c r="G273" s="242" t="s">
        <v>275</v>
      </c>
      <c r="H273" s="244"/>
      <c r="I273" s="246">
        <v>63</v>
      </c>
      <c r="J273" s="242" t="s">
        <v>276</v>
      </c>
      <c r="K273" s="244">
        <v>1533010002</v>
      </c>
      <c r="L273" s="244"/>
      <c r="M273" s="244"/>
      <c r="N273" s="244"/>
      <c r="O273" s="244"/>
      <c r="P273" s="244"/>
      <c r="Q273" s="244"/>
      <c r="R273" s="244"/>
      <c r="S273" s="244"/>
      <c r="T273" s="247">
        <v>-582298</v>
      </c>
      <c r="U273" s="243" t="s">
        <v>277</v>
      </c>
      <c r="V273" s="244"/>
      <c r="W273" s="244"/>
      <c r="X273" s="244"/>
      <c r="Y273" s="244"/>
      <c r="Z273" s="244"/>
      <c r="AA273" s="244"/>
      <c r="AB273" s="243"/>
      <c r="AC273" s="243" t="s">
        <v>278</v>
      </c>
      <c r="AD273" s="244"/>
      <c r="AE273" s="244"/>
      <c r="AF273" s="248">
        <v>20250430</v>
      </c>
      <c r="AG273" s="244"/>
      <c r="AH273" s="244"/>
      <c r="AI273" s="249">
        <v>20250430</v>
      </c>
      <c r="AJ273" s="250"/>
      <c r="AK273" s="244">
        <v>8301138310</v>
      </c>
      <c r="AL273" s="250"/>
      <c r="AM273" s="244" t="s">
        <v>287</v>
      </c>
      <c r="AN273" s="244"/>
      <c r="AO273" s="234">
        <v>0</v>
      </c>
      <c r="AP273" s="232">
        <f t="shared" si="12"/>
        <v>582298</v>
      </c>
      <c r="AQ273" s="230">
        <f t="shared" si="11"/>
        <v>4</v>
      </c>
    </row>
    <row r="274" spans="1:43" s="246" customFormat="1" ht="14.4">
      <c r="A274" s="242">
        <v>1</v>
      </c>
      <c r="B274" s="243" t="s">
        <v>273</v>
      </c>
      <c r="C274" s="244" t="s">
        <v>280</v>
      </c>
      <c r="D274" s="245">
        <v>45777</v>
      </c>
      <c r="E274" s="245">
        <v>45777</v>
      </c>
      <c r="F274" s="244" t="s">
        <v>281</v>
      </c>
      <c r="G274" s="242" t="s">
        <v>275</v>
      </c>
      <c r="H274" s="244"/>
      <c r="I274" s="246">
        <v>64</v>
      </c>
      <c r="J274" s="242" t="s">
        <v>276</v>
      </c>
      <c r="K274" s="244">
        <v>1533010002</v>
      </c>
      <c r="L274" s="244"/>
      <c r="M274" s="244"/>
      <c r="N274" s="244"/>
      <c r="O274" s="244"/>
      <c r="P274" s="244"/>
      <c r="Q274" s="244"/>
      <c r="R274" s="244"/>
      <c r="S274" s="244"/>
      <c r="T274" s="247">
        <v>-47450</v>
      </c>
      <c r="U274" s="243" t="s">
        <v>277</v>
      </c>
      <c r="V274" s="244"/>
      <c r="W274" s="244"/>
      <c r="X274" s="244"/>
      <c r="Y274" s="244"/>
      <c r="Z274" s="244"/>
      <c r="AA274" s="244"/>
      <c r="AB274" s="243"/>
      <c r="AC274" s="243" t="s">
        <v>278</v>
      </c>
      <c r="AD274" s="244"/>
      <c r="AE274" s="244"/>
      <c r="AF274" s="248">
        <v>20250430</v>
      </c>
      <c r="AG274" s="244"/>
      <c r="AH274" s="244"/>
      <c r="AI274" s="249">
        <v>20250430</v>
      </c>
      <c r="AJ274" s="250"/>
      <c r="AK274" s="244">
        <v>8600669427</v>
      </c>
      <c r="AL274" s="250"/>
      <c r="AM274" s="244" t="s">
        <v>289</v>
      </c>
      <c r="AN274" s="244"/>
      <c r="AO274" s="234">
        <v>0</v>
      </c>
      <c r="AP274" s="232">
        <f t="shared" si="12"/>
        <v>47450</v>
      </c>
      <c r="AQ274" s="230">
        <f t="shared" si="11"/>
        <v>4</v>
      </c>
    </row>
    <row r="275" spans="1:43" s="246" customFormat="1" ht="14.4">
      <c r="A275" s="242">
        <v>1</v>
      </c>
      <c r="B275" s="243" t="s">
        <v>273</v>
      </c>
      <c r="C275" s="244" t="s">
        <v>280</v>
      </c>
      <c r="D275" s="245">
        <v>45777</v>
      </c>
      <c r="E275" s="245">
        <v>45777</v>
      </c>
      <c r="F275" s="244" t="s">
        <v>281</v>
      </c>
      <c r="G275" s="242" t="s">
        <v>275</v>
      </c>
      <c r="H275" s="244"/>
      <c r="I275" s="246">
        <v>65</v>
      </c>
      <c r="J275" s="242" t="s">
        <v>276</v>
      </c>
      <c r="K275" s="244">
        <v>1533010002</v>
      </c>
      <c r="L275" s="244"/>
      <c r="M275" s="244"/>
      <c r="N275" s="244"/>
      <c r="O275" s="244"/>
      <c r="P275" s="244"/>
      <c r="Q275" s="244"/>
      <c r="R275" s="244"/>
      <c r="S275" s="244"/>
      <c r="T275" s="247">
        <v>-4467410</v>
      </c>
      <c r="U275" s="243" t="s">
        <v>277</v>
      </c>
      <c r="V275" s="244"/>
      <c r="W275" s="244"/>
      <c r="X275" s="244"/>
      <c r="Y275" s="244"/>
      <c r="Z275" s="244"/>
      <c r="AA275" s="244"/>
      <c r="AB275" s="243"/>
      <c r="AC275" s="243" t="s">
        <v>278</v>
      </c>
      <c r="AD275" s="244"/>
      <c r="AE275" s="244"/>
      <c r="AF275" s="248">
        <v>20250430</v>
      </c>
      <c r="AG275" s="244"/>
      <c r="AH275" s="244"/>
      <c r="AI275" s="249">
        <v>20250430</v>
      </c>
      <c r="AJ275" s="250"/>
      <c r="AK275" s="244">
        <v>8001309074</v>
      </c>
      <c r="AL275" s="250"/>
      <c r="AM275" s="244" t="s">
        <v>305</v>
      </c>
      <c r="AN275" s="244"/>
      <c r="AO275" s="234">
        <v>0</v>
      </c>
      <c r="AP275" s="232">
        <f t="shared" si="12"/>
        <v>4467410</v>
      </c>
      <c r="AQ275" s="230">
        <f t="shared" si="11"/>
        <v>4</v>
      </c>
    </row>
    <row r="276" spans="1:43" s="246" customFormat="1" ht="14.4">
      <c r="A276" s="242">
        <v>1</v>
      </c>
      <c r="B276" s="243" t="s">
        <v>273</v>
      </c>
      <c r="C276" s="244" t="s">
        <v>280</v>
      </c>
      <c r="D276" s="245">
        <v>45777</v>
      </c>
      <c r="E276" s="245">
        <v>45777</v>
      </c>
      <c r="F276" s="244" t="s">
        <v>281</v>
      </c>
      <c r="G276" s="242" t="s">
        <v>275</v>
      </c>
      <c r="H276" s="244"/>
      <c r="I276" s="246">
        <v>66</v>
      </c>
      <c r="J276" s="242" t="s">
        <v>276</v>
      </c>
      <c r="K276" s="244">
        <v>1533010002</v>
      </c>
      <c r="L276" s="244"/>
      <c r="M276" s="244"/>
      <c r="N276" s="244"/>
      <c r="O276" s="244"/>
      <c r="P276" s="244"/>
      <c r="Q276" s="244"/>
      <c r="R276" s="244"/>
      <c r="S276" s="244"/>
      <c r="T276" s="247">
        <v>-1554564</v>
      </c>
      <c r="U276" s="243" t="s">
        <v>277</v>
      </c>
      <c r="V276" s="244"/>
      <c r="W276" s="244"/>
      <c r="X276" s="244"/>
      <c r="Y276" s="244"/>
      <c r="Z276" s="244"/>
      <c r="AA276" s="244"/>
      <c r="AB276" s="243"/>
      <c r="AC276" s="243" t="s">
        <v>278</v>
      </c>
      <c r="AD276" s="244"/>
      <c r="AE276" s="244"/>
      <c r="AF276" s="248">
        <v>20250430</v>
      </c>
      <c r="AG276" s="244"/>
      <c r="AH276" s="244"/>
      <c r="AI276" s="249">
        <v>20250430</v>
      </c>
      <c r="AJ276" s="250"/>
      <c r="AK276" s="244">
        <v>8300035647</v>
      </c>
      <c r="AL276" s="250"/>
      <c r="AM276" s="244" t="s">
        <v>286</v>
      </c>
      <c r="AN276" s="244"/>
      <c r="AO276" s="234">
        <v>0</v>
      </c>
      <c r="AP276" s="232">
        <f t="shared" si="12"/>
        <v>1554564</v>
      </c>
      <c r="AQ276" s="230">
        <f t="shared" si="11"/>
        <v>4</v>
      </c>
    </row>
    <row r="277" spans="1:43" s="246" customFormat="1" ht="14.4">
      <c r="A277" s="242">
        <v>1</v>
      </c>
      <c r="B277" s="243" t="s">
        <v>273</v>
      </c>
      <c r="C277" s="244" t="s">
        <v>280</v>
      </c>
      <c r="D277" s="245">
        <v>45777</v>
      </c>
      <c r="E277" s="245">
        <v>45777</v>
      </c>
      <c r="F277" s="244" t="s">
        <v>281</v>
      </c>
      <c r="G277" s="242" t="s">
        <v>275</v>
      </c>
      <c r="H277" s="244"/>
      <c r="I277" s="246">
        <v>67</v>
      </c>
      <c r="J277" s="242" t="s">
        <v>276</v>
      </c>
      <c r="K277" s="244">
        <v>1533010002</v>
      </c>
      <c r="L277" s="244"/>
      <c r="M277" s="244"/>
      <c r="N277" s="244"/>
      <c r="O277" s="244"/>
      <c r="P277" s="244"/>
      <c r="Q277" s="244"/>
      <c r="R277" s="244"/>
      <c r="S277" s="244"/>
      <c r="T277" s="247">
        <v>-1850550</v>
      </c>
      <c r="U277" s="243" t="s">
        <v>277</v>
      </c>
      <c r="V277" s="244"/>
      <c r="W277" s="244"/>
      <c r="X277" s="244"/>
      <c r="Y277" s="244"/>
      <c r="Z277" s="244"/>
      <c r="AA277" s="244"/>
      <c r="AB277" s="243"/>
      <c r="AC277" s="243" t="s">
        <v>278</v>
      </c>
      <c r="AD277" s="244"/>
      <c r="AE277" s="244"/>
      <c r="AF277" s="248">
        <v>20250430</v>
      </c>
      <c r="AG277" s="244"/>
      <c r="AH277" s="244"/>
      <c r="AI277" s="249">
        <v>20250430</v>
      </c>
      <c r="AJ277" s="250"/>
      <c r="AK277" s="244">
        <v>8002514406</v>
      </c>
      <c r="AL277" s="250"/>
      <c r="AM277" s="244" t="s">
        <v>283</v>
      </c>
      <c r="AN277" s="244"/>
      <c r="AO277" s="234">
        <v>0</v>
      </c>
      <c r="AP277" s="232">
        <f t="shared" si="12"/>
        <v>1850550</v>
      </c>
      <c r="AQ277" s="230">
        <f t="shared" si="11"/>
        <v>4</v>
      </c>
    </row>
    <row r="278" spans="1:43" s="246" customFormat="1" ht="14.4">
      <c r="A278" s="242">
        <v>1</v>
      </c>
      <c r="B278" s="243" t="s">
        <v>273</v>
      </c>
      <c r="C278" s="244" t="s">
        <v>280</v>
      </c>
      <c r="D278" s="245">
        <v>45777</v>
      </c>
      <c r="E278" s="245">
        <v>45777</v>
      </c>
      <c r="F278" s="244" t="s">
        <v>281</v>
      </c>
      <c r="G278" s="242" t="s">
        <v>275</v>
      </c>
      <c r="H278" s="244"/>
      <c r="I278" s="246">
        <v>68</v>
      </c>
      <c r="J278" s="242" t="s">
        <v>276</v>
      </c>
      <c r="K278" s="244">
        <v>1533010002</v>
      </c>
      <c r="L278" s="244"/>
      <c r="M278" s="244"/>
      <c r="N278" s="244"/>
      <c r="O278" s="244"/>
      <c r="P278" s="244"/>
      <c r="Q278" s="244"/>
      <c r="R278" s="244"/>
      <c r="S278" s="244"/>
      <c r="T278" s="247">
        <v>-3656084</v>
      </c>
      <c r="U278" s="243" t="s">
        <v>277</v>
      </c>
      <c r="V278" s="244"/>
      <c r="W278" s="244"/>
      <c r="X278" s="244"/>
      <c r="Y278" s="244"/>
      <c r="Z278" s="244"/>
      <c r="AA278" s="244"/>
      <c r="AB278" s="243"/>
      <c r="AC278" s="243" t="s">
        <v>278</v>
      </c>
      <c r="AD278" s="244"/>
      <c r="AE278" s="244"/>
      <c r="AF278" s="248">
        <v>20250430</v>
      </c>
      <c r="AG278" s="244"/>
      <c r="AH278" s="244"/>
      <c r="AI278" s="249">
        <v>20250430</v>
      </c>
      <c r="AJ278" s="250"/>
      <c r="AK278" s="244">
        <v>9001562642</v>
      </c>
      <c r="AL278" s="250"/>
      <c r="AM278" s="244" t="s">
        <v>316</v>
      </c>
      <c r="AN278" s="244"/>
      <c r="AO278" s="234">
        <v>0</v>
      </c>
      <c r="AP278" s="232">
        <f t="shared" si="12"/>
        <v>3656084</v>
      </c>
      <c r="AQ278" s="230">
        <f t="shared" si="11"/>
        <v>4</v>
      </c>
    </row>
    <row r="279" spans="1:43" s="246" customFormat="1" ht="14.4">
      <c r="A279" s="242">
        <v>1</v>
      </c>
      <c r="B279" s="243" t="s">
        <v>273</v>
      </c>
      <c r="C279" s="244" t="s">
        <v>280</v>
      </c>
      <c r="D279" s="245">
        <v>45777</v>
      </c>
      <c r="E279" s="245">
        <v>45777</v>
      </c>
      <c r="F279" s="244" t="s">
        <v>281</v>
      </c>
      <c r="G279" s="242" t="s">
        <v>275</v>
      </c>
      <c r="H279" s="244"/>
      <c r="I279" s="246">
        <v>69</v>
      </c>
      <c r="J279" s="242" t="s">
        <v>276</v>
      </c>
      <c r="K279" s="244">
        <v>1533010002</v>
      </c>
      <c r="L279" s="244"/>
      <c r="M279" s="244"/>
      <c r="N279" s="244"/>
      <c r="O279" s="244"/>
      <c r="P279" s="244"/>
      <c r="Q279" s="244"/>
      <c r="R279" s="244"/>
      <c r="S279" s="244"/>
      <c r="T279" s="247">
        <v>-476857</v>
      </c>
      <c r="U279" s="243" t="s">
        <v>277</v>
      </c>
      <c r="V279" s="244"/>
      <c r="W279" s="244"/>
      <c r="X279" s="244"/>
      <c r="Y279" s="244"/>
      <c r="Z279" s="244"/>
      <c r="AA279" s="244"/>
      <c r="AB279" s="243"/>
      <c r="AC279" s="243" t="s">
        <v>278</v>
      </c>
      <c r="AD279" s="244"/>
      <c r="AE279" s="244"/>
      <c r="AF279" s="248">
        <v>20250430</v>
      </c>
      <c r="AG279" s="244"/>
      <c r="AH279" s="244"/>
      <c r="AI279" s="249">
        <v>20250430</v>
      </c>
      <c r="AJ279" s="250"/>
      <c r="AK279" s="244">
        <v>8301138310</v>
      </c>
      <c r="AL279" s="250"/>
      <c r="AM279" s="244" t="s">
        <v>287</v>
      </c>
      <c r="AN279" s="244"/>
      <c r="AO279" s="234">
        <v>0</v>
      </c>
      <c r="AP279" s="232">
        <f t="shared" si="12"/>
        <v>476857</v>
      </c>
      <c r="AQ279" s="230">
        <f t="shared" si="11"/>
        <v>4</v>
      </c>
    </row>
    <row r="280" spans="1:43" s="246" customFormat="1" ht="14.4">
      <c r="A280" s="242">
        <v>1</v>
      </c>
      <c r="B280" s="243" t="s">
        <v>273</v>
      </c>
      <c r="C280" s="244" t="s">
        <v>280</v>
      </c>
      <c r="D280" s="245">
        <v>45777</v>
      </c>
      <c r="E280" s="245">
        <v>45777</v>
      </c>
      <c r="F280" s="244" t="s">
        <v>281</v>
      </c>
      <c r="G280" s="242" t="s">
        <v>275</v>
      </c>
      <c r="H280" s="244"/>
      <c r="I280" s="246">
        <v>70</v>
      </c>
      <c r="J280" s="242" t="s">
        <v>276</v>
      </c>
      <c r="K280" s="244">
        <v>1533010002</v>
      </c>
      <c r="L280" s="244"/>
      <c r="M280" s="244"/>
      <c r="N280" s="244"/>
      <c r="O280" s="244"/>
      <c r="P280" s="244"/>
      <c r="Q280" s="244"/>
      <c r="R280" s="244"/>
      <c r="S280" s="244"/>
      <c r="T280" s="247">
        <v>-719338</v>
      </c>
      <c r="U280" s="243" t="s">
        <v>277</v>
      </c>
      <c r="V280" s="244"/>
      <c r="W280" s="244"/>
      <c r="X280" s="244"/>
      <c r="Y280" s="244"/>
      <c r="Z280" s="244"/>
      <c r="AA280" s="244"/>
      <c r="AB280" s="243"/>
      <c r="AC280" s="243" t="s">
        <v>278</v>
      </c>
      <c r="AD280" s="244"/>
      <c r="AE280" s="244"/>
      <c r="AF280" s="248">
        <v>20250430</v>
      </c>
      <c r="AG280" s="244"/>
      <c r="AH280" s="244"/>
      <c r="AI280" s="249">
        <v>20250430</v>
      </c>
      <c r="AJ280" s="250"/>
      <c r="AK280" s="244">
        <v>8002514406</v>
      </c>
      <c r="AL280" s="250"/>
      <c r="AM280" s="244" t="s">
        <v>283</v>
      </c>
      <c r="AN280" s="244"/>
      <c r="AO280" s="234">
        <v>0</v>
      </c>
      <c r="AP280" s="232">
        <f t="shared" si="12"/>
        <v>719338</v>
      </c>
      <c r="AQ280" s="230">
        <f t="shared" si="11"/>
        <v>4</v>
      </c>
    </row>
    <row r="281" spans="1:43" s="246" customFormat="1" ht="14.4">
      <c r="A281" s="242">
        <v>1</v>
      </c>
      <c r="B281" s="243" t="s">
        <v>273</v>
      </c>
      <c r="C281" s="244" t="s">
        <v>280</v>
      </c>
      <c r="D281" s="245">
        <v>45777</v>
      </c>
      <c r="E281" s="245">
        <v>45777</v>
      </c>
      <c r="F281" s="244" t="s">
        <v>281</v>
      </c>
      <c r="G281" s="242" t="s">
        <v>275</v>
      </c>
      <c r="H281" s="244"/>
      <c r="I281" s="246">
        <v>71</v>
      </c>
      <c r="J281" s="242" t="s">
        <v>276</v>
      </c>
      <c r="K281" s="244">
        <v>1533010002</v>
      </c>
      <c r="L281" s="244"/>
      <c r="M281" s="244"/>
      <c r="N281" s="244"/>
      <c r="O281" s="244"/>
      <c r="P281" s="244"/>
      <c r="Q281" s="244"/>
      <c r="R281" s="244"/>
      <c r="S281" s="244"/>
      <c r="T281" s="247">
        <v>-6806475</v>
      </c>
      <c r="U281" s="243" t="s">
        <v>277</v>
      </c>
      <c r="V281" s="244"/>
      <c r="W281" s="244"/>
      <c r="X281" s="244"/>
      <c r="Y281" s="244"/>
      <c r="Z281" s="244"/>
      <c r="AA281" s="244"/>
      <c r="AB281" s="243"/>
      <c r="AC281" s="243" t="s">
        <v>278</v>
      </c>
      <c r="AD281" s="244"/>
      <c r="AE281" s="244"/>
      <c r="AF281" s="248">
        <v>20250430</v>
      </c>
      <c r="AG281" s="244"/>
      <c r="AH281" s="244"/>
      <c r="AI281" s="249">
        <v>20250430</v>
      </c>
      <c r="AJ281" s="250"/>
      <c r="AK281" s="244">
        <v>8600669427</v>
      </c>
      <c r="AL281" s="250"/>
      <c r="AM281" s="244" t="s">
        <v>289</v>
      </c>
      <c r="AN281" s="244"/>
      <c r="AO281" s="234">
        <v>0</v>
      </c>
      <c r="AP281" s="232">
        <f t="shared" si="12"/>
        <v>6806475</v>
      </c>
      <c r="AQ281" s="230">
        <f t="shared" si="11"/>
        <v>4</v>
      </c>
    </row>
    <row r="282" spans="1:43" s="246" customFormat="1" ht="14.4">
      <c r="A282" s="242">
        <v>1</v>
      </c>
      <c r="B282" s="243" t="s">
        <v>273</v>
      </c>
      <c r="C282" s="244" t="s">
        <v>280</v>
      </c>
      <c r="D282" s="245">
        <v>45777</v>
      </c>
      <c r="E282" s="245">
        <v>45777</v>
      </c>
      <c r="F282" s="244" t="s">
        <v>281</v>
      </c>
      <c r="G282" s="242" t="s">
        <v>275</v>
      </c>
      <c r="H282" s="244"/>
      <c r="I282" s="246">
        <v>72</v>
      </c>
      <c r="J282" s="242" t="s">
        <v>276</v>
      </c>
      <c r="K282" s="244">
        <v>1533010002</v>
      </c>
      <c r="L282" s="244"/>
      <c r="M282" s="244"/>
      <c r="N282" s="244"/>
      <c r="O282" s="244"/>
      <c r="P282" s="244"/>
      <c r="Q282" s="244"/>
      <c r="R282" s="244"/>
      <c r="S282" s="244"/>
      <c r="T282" s="247">
        <v>-130000</v>
      </c>
      <c r="U282" s="243" t="s">
        <v>277</v>
      </c>
      <c r="V282" s="244"/>
      <c r="W282" s="244"/>
      <c r="X282" s="244"/>
      <c r="Y282" s="244"/>
      <c r="Z282" s="244"/>
      <c r="AA282" s="244"/>
      <c r="AB282" s="243"/>
      <c r="AC282" s="243" t="s">
        <v>278</v>
      </c>
      <c r="AD282" s="244"/>
      <c r="AE282" s="244"/>
      <c r="AF282" s="248">
        <v>20250430</v>
      </c>
      <c r="AG282" s="244"/>
      <c r="AH282" s="244"/>
      <c r="AI282" s="249">
        <v>20250430</v>
      </c>
      <c r="AJ282" s="250"/>
      <c r="AK282" s="244">
        <v>9001562642</v>
      </c>
      <c r="AL282" s="250"/>
      <c r="AM282" s="244" t="s">
        <v>316</v>
      </c>
      <c r="AN282" s="244"/>
      <c r="AO282" s="234">
        <v>0</v>
      </c>
      <c r="AP282" s="232">
        <f t="shared" si="12"/>
        <v>130000</v>
      </c>
      <c r="AQ282" s="230">
        <f t="shared" si="11"/>
        <v>4</v>
      </c>
    </row>
    <row r="283" spans="1:43" s="246" customFormat="1" ht="14.4">
      <c r="A283" s="242">
        <v>1</v>
      </c>
      <c r="B283" s="243" t="s">
        <v>273</v>
      </c>
      <c r="C283" s="244" t="s">
        <v>280</v>
      </c>
      <c r="D283" s="245">
        <v>45777</v>
      </c>
      <c r="E283" s="245">
        <v>45777</v>
      </c>
      <c r="F283" s="244" t="s">
        <v>281</v>
      </c>
      <c r="G283" s="242" t="s">
        <v>275</v>
      </c>
      <c r="H283" s="244"/>
      <c r="I283" s="246">
        <v>73</v>
      </c>
      <c r="J283" s="242" t="s">
        <v>276</v>
      </c>
      <c r="K283" s="244">
        <v>1533010002</v>
      </c>
      <c r="L283" s="244"/>
      <c r="M283" s="244"/>
      <c r="N283" s="244"/>
      <c r="O283" s="244"/>
      <c r="P283" s="244"/>
      <c r="Q283" s="244"/>
      <c r="R283" s="244"/>
      <c r="S283" s="244"/>
      <c r="T283" s="247">
        <v>-313977</v>
      </c>
      <c r="U283" s="243" t="s">
        <v>277</v>
      </c>
      <c r="V283" s="244"/>
      <c r="W283" s="244"/>
      <c r="X283" s="244"/>
      <c r="Y283" s="244"/>
      <c r="Z283" s="244"/>
      <c r="AA283" s="244"/>
      <c r="AB283" s="243"/>
      <c r="AC283" s="243" t="s">
        <v>278</v>
      </c>
      <c r="AD283" s="244"/>
      <c r="AE283" s="244"/>
      <c r="AF283" s="248">
        <v>20250430</v>
      </c>
      <c r="AG283" s="244"/>
      <c r="AH283" s="244"/>
      <c r="AI283" s="249">
        <v>20250430</v>
      </c>
      <c r="AJ283" s="250"/>
      <c r="AK283" s="244">
        <v>8600021839</v>
      </c>
      <c r="AL283" s="250"/>
      <c r="AM283" s="244" t="s">
        <v>288</v>
      </c>
      <c r="AN283" s="244"/>
      <c r="AO283" s="234">
        <v>0</v>
      </c>
      <c r="AP283" s="232">
        <f t="shared" si="12"/>
        <v>313977</v>
      </c>
      <c r="AQ283" s="230">
        <f t="shared" si="11"/>
        <v>4</v>
      </c>
    </row>
    <row r="284" spans="1:43" s="246" customFormat="1" ht="14.4">
      <c r="A284" s="242">
        <v>1</v>
      </c>
      <c r="B284" s="243" t="s">
        <v>273</v>
      </c>
      <c r="C284" s="244" t="s">
        <v>280</v>
      </c>
      <c r="D284" s="245">
        <v>45777</v>
      </c>
      <c r="E284" s="245">
        <v>45777</v>
      </c>
      <c r="F284" s="244" t="s">
        <v>281</v>
      </c>
      <c r="G284" s="242" t="s">
        <v>275</v>
      </c>
      <c r="H284" s="244"/>
      <c r="I284" s="246">
        <v>74</v>
      </c>
      <c r="J284" s="242" t="s">
        <v>276</v>
      </c>
      <c r="K284" s="244">
        <v>1533010002</v>
      </c>
      <c r="L284" s="244"/>
      <c r="M284" s="244"/>
      <c r="N284" s="244"/>
      <c r="O284" s="244"/>
      <c r="P284" s="244"/>
      <c r="Q284" s="244"/>
      <c r="R284" s="244"/>
      <c r="S284" s="244"/>
      <c r="T284" s="247">
        <v>-189800</v>
      </c>
      <c r="U284" s="243" t="s">
        <v>277</v>
      </c>
      <c r="V284" s="244"/>
      <c r="W284" s="244"/>
      <c r="X284" s="244"/>
      <c r="Y284" s="244"/>
      <c r="Z284" s="244"/>
      <c r="AA284" s="244"/>
      <c r="AB284" s="243"/>
      <c r="AC284" s="243" t="s">
        <v>278</v>
      </c>
      <c r="AD284" s="244"/>
      <c r="AE284" s="244"/>
      <c r="AF284" s="248">
        <v>20250430</v>
      </c>
      <c r="AG284" s="244"/>
      <c r="AH284" s="244"/>
      <c r="AI284" s="249">
        <v>20250430</v>
      </c>
      <c r="AJ284" s="250"/>
      <c r="AK284" s="244">
        <v>9009142541</v>
      </c>
      <c r="AL284" s="250"/>
      <c r="AM284" s="244" t="s">
        <v>296</v>
      </c>
      <c r="AN284" s="244"/>
      <c r="AO284" s="234">
        <v>0</v>
      </c>
      <c r="AP284" s="232">
        <f t="shared" si="12"/>
        <v>189800</v>
      </c>
      <c r="AQ284" s="230">
        <f t="shared" si="11"/>
        <v>4</v>
      </c>
    </row>
    <row r="285" spans="1:43" s="246" customFormat="1" ht="14.4">
      <c r="A285" s="242">
        <v>1</v>
      </c>
      <c r="B285" s="243" t="s">
        <v>273</v>
      </c>
      <c r="C285" s="244" t="s">
        <v>280</v>
      </c>
      <c r="D285" s="245">
        <v>45777</v>
      </c>
      <c r="E285" s="245">
        <v>45777</v>
      </c>
      <c r="F285" s="244" t="s">
        <v>281</v>
      </c>
      <c r="G285" s="242" t="s">
        <v>275</v>
      </c>
      <c r="H285" s="244"/>
      <c r="I285" s="246">
        <v>75</v>
      </c>
      <c r="J285" s="242" t="s">
        <v>276</v>
      </c>
      <c r="K285" s="244">
        <v>1533010002</v>
      </c>
      <c r="L285" s="244"/>
      <c r="M285" s="244"/>
      <c r="N285" s="244"/>
      <c r="O285" s="244"/>
      <c r="P285" s="244"/>
      <c r="Q285" s="244"/>
      <c r="R285" s="244"/>
      <c r="S285" s="244"/>
      <c r="T285" s="247">
        <v>-1423500</v>
      </c>
      <c r="U285" s="243" t="s">
        <v>277</v>
      </c>
      <c r="V285" s="244"/>
      <c r="W285" s="244"/>
      <c r="X285" s="244"/>
      <c r="Y285" s="244"/>
      <c r="Z285" s="244"/>
      <c r="AA285" s="244"/>
      <c r="AB285" s="243"/>
      <c r="AC285" s="243" t="s">
        <v>278</v>
      </c>
      <c r="AD285" s="244"/>
      <c r="AE285" s="244"/>
      <c r="AF285" s="248">
        <v>20250430</v>
      </c>
      <c r="AG285" s="244"/>
      <c r="AH285" s="244"/>
      <c r="AI285" s="249">
        <v>20250430</v>
      </c>
      <c r="AJ285" s="250"/>
      <c r="AK285" s="244">
        <v>8002492410</v>
      </c>
      <c r="AL285" s="250"/>
      <c r="AM285" s="244" t="s">
        <v>297</v>
      </c>
      <c r="AN285" s="244"/>
      <c r="AO285" s="234">
        <v>0</v>
      </c>
      <c r="AP285" s="232">
        <f t="shared" si="12"/>
        <v>1423500</v>
      </c>
      <c r="AQ285" s="230">
        <f t="shared" si="11"/>
        <v>4</v>
      </c>
    </row>
    <row r="286" spans="1:43" s="246" customFormat="1" ht="14.4">
      <c r="A286" s="242">
        <v>1</v>
      </c>
      <c r="B286" s="243" t="s">
        <v>273</v>
      </c>
      <c r="C286" s="244" t="s">
        <v>280</v>
      </c>
      <c r="D286" s="245">
        <v>45777</v>
      </c>
      <c r="E286" s="245">
        <v>45777</v>
      </c>
      <c r="F286" s="244" t="s">
        <v>281</v>
      </c>
      <c r="G286" s="242" t="s">
        <v>275</v>
      </c>
      <c r="H286" s="244"/>
      <c r="I286" s="246">
        <v>76</v>
      </c>
      <c r="J286" s="242" t="s">
        <v>276</v>
      </c>
      <c r="K286" s="244">
        <v>1533010002</v>
      </c>
      <c r="L286" s="244"/>
      <c r="M286" s="244"/>
      <c r="N286" s="244"/>
      <c r="O286" s="244"/>
      <c r="P286" s="244"/>
      <c r="Q286" s="244"/>
      <c r="R286" s="244"/>
      <c r="S286" s="244"/>
      <c r="T286" s="247">
        <v>-1982076</v>
      </c>
      <c r="U286" s="243" t="s">
        <v>277</v>
      </c>
      <c r="V286" s="244"/>
      <c r="W286" s="244"/>
      <c r="X286" s="244"/>
      <c r="Y286" s="244"/>
      <c r="Z286" s="244"/>
      <c r="AA286" s="244"/>
      <c r="AB286" s="243"/>
      <c r="AC286" s="243" t="s">
        <v>278</v>
      </c>
      <c r="AD286" s="244"/>
      <c r="AE286" s="244"/>
      <c r="AF286" s="248">
        <v>20250430</v>
      </c>
      <c r="AG286" s="244"/>
      <c r="AH286" s="244"/>
      <c r="AI286" s="249">
        <v>20250430</v>
      </c>
      <c r="AJ286" s="250"/>
      <c r="AK286" s="244">
        <v>8050011572</v>
      </c>
      <c r="AL286" s="250"/>
      <c r="AM286" s="244" t="s">
        <v>284</v>
      </c>
      <c r="AN286" s="244"/>
      <c r="AO286" s="234">
        <v>0</v>
      </c>
      <c r="AP286" s="232">
        <f t="shared" si="12"/>
        <v>1982076</v>
      </c>
      <c r="AQ286" s="230">
        <f t="shared" si="11"/>
        <v>4</v>
      </c>
    </row>
    <row r="287" spans="1:43" s="246" customFormat="1" ht="14.4">
      <c r="A287" s="242">
        <v>1</v>
      </c>
      <c r="B287" s="243" t="s">
        <v>273</v>
      </c>
      <c r="C287" s="244" t="s">
        <v>280</v>
      </c>
      <c r="D287" s="245">
        <v>45777</v>
      </c>
      <c r="E287" s="245">
        <v>45777</v>
      </c>
      <c r="F287" s="244" t="s">
        <v>281</v>
      </c>
      <c r="G287" s="242" t="s">
        <v>275</v>
      </c>
      <c r="H287" s="244"/>
      <c r="I287" s="246">
        <v>77</v>
      </c>
      <c r="J287" s="242" t="s">
        <v>276</v>
      </c>
      <c r="K287" s="244">
        <v>1533010002</v>
      </c>
      <c r="L287" s="244"/>
      <c r="M287" s="244"/>
      <c r="N287" s="244"/>
      <c r="O287" s="244"/>
      <c r="P287" s="244"/>
      <c r="Q287" s="244"/>
      <c r="R287" s="244"/>
      <c r="S287" s="244"/>
      <c r="T287" s="247">
        <v>-5924679</v>
      </c>
      <c r="U287" s="243" t="s">
        <v>277</v>
      </c>
      <c r="V287" s="244"/>
      <c r="W287" s="244"/>
      <c r="X287" s="244"/>
      <c r="Y287" s="244"/>
      <c r="Z287" s="244"/>
      <c r="AA287" s="244"/>
      <c r="AB287" s="243"/>
      <c r="AC287" s="243" t="s">
        <v>278</v>
      </c>
      <c r="AD287" s="244"/>
      <c r="AE287" s="244"/>
      <c r="AF287" s="248">
        <v>20250430</v>
      </c>
      <c r="AG287" s="244"/>
      <c r="AH287" s="244"/>
      <c r="AI287" s="249">
        <v>20250430</v>
      </c>
      <c r="AJ287" s="250"/>
      <c r="AK287" s="244">
        <v>9001562642</v>
      </c>
      <c r="AL287" s="250"/>
      <c r="AM287" s="244" t="s">
        <v>316</v>
      </c>
      <c r="AN287" s="244"/>
      <c r="AO287" s="234">
        <v>0</v>
      </c>
      <c r="AP287" s="232">
        <f t="shared" si="12"/>
        <v>5924679</v>
      </c>
      <c r="AQ287" s="230">
        <f t="shared" si="11"/>
        <v>4</v>
      </c>
    </row>
    <row r="288" spans="1:43" s="246" customFormat="1" ht="14.4">
      <c r="A288" s="242">
        <v>1</v>
      </c>
      <c r="B288" s="243" t="s">
        <v>273</v>
      </c>
      <c r="C288" s="244" t="s">
        <v>280</v>
      </c>
      <c r="D288" s="245">
        <v>45777</v>
      </c>
      <c r="E288" s="245">
        <v>45777</v>
      </c>
      <c r="F288" s="244" t="s">
        <v>281</v>
      </c>
      <c r="G288" s="242" t="s">
        <v>275</v>
      </c>
      <c r="H288" s="244"/>
      <c r="I288" s="246">
        <v>78</v>
      </c>
      <c r="J288" s="242" t="s">
        <v>276</v>
      </c>
      <c r="K288" s="244">
        <v>1533010002</v>
      </c>
      <c r="L288" s="244"/>
      <c r="M288" s="244"/>
      <c r="N288" s="244"/>
      <c r="O288" s="244"/>
      <c r="P288" s="244"/>
      <c r="Q288" s="244"/>
      <c r="R288" s="244"/>
      <c r="S288" s="244"/>
      <c r="T288" s="247">
        <v>-1213229</v>
      </c>
      <c r="U288" s="243" t="s">
        <v>277</v>
      </c>
      <c r="V288" s="244"/>
      <c r="W288" s="244"/>
      <c r="X288" s="244"/>
      <c r="Y288" s="244"/>
      <c r="Z288" s="244"/>
      <c r="AA288" s="244"/>
      <c r="AB288" s="243"/>
      <c r="AC288" s="243" t="s">
        <v>278</v>
      </c>
      <c r="AD288" s="244"/>
      <c r="AE288" s="244"/>
      <c r="AF288" s="248">
        <v>20250430</v>
      </c>
      <c r="AG288" s="244"/>
      <c r="AH288" s="244"/>
      <c r="AI288" s="249">
        <v>20250430</v>
      </c>
      <c r="AJ288" s="250"/>
      <c r="AK288" s="244">
        <v>8600669427</v>
      </c>
      <c r="AL288" s="250"/>
      <c r="AM288" s="244" t="s">
        <v>289</v>
      </c>
      <c r="AN288" s="244"/>
      <c r="AO288" s="234">
        <v>0</v>
      </c>
      <c r="AP288" s="232">
        <f t="shared" si="12"/>
        <v>1213229</v>
      </c>
      <c r="AQ288" s="230">
        <f t="shared" si="11"/>
        <v>4</v>
      </c>
    </row>
    <row r="289" spans="1:43" s="246" customFormat="1" ht="14.4">
      <c r="A289" s="242">
        <v>1</v>
      </c>
      <c r="B289" s="243" t="s">
        <v>273</v>
      </c>
      <c r="C289" s="244" t="s">
        <v>280</v>
      </c>
      <c r="D289" s="245">
        <v>45777</v>
      </c>
      <c r="E289" s="245">
        <v>45777</v>
      </c>
      <c r="F289" s="244" t="s">
        <v>281</v>
      </c>
      <c r="G289" s="242" t="s">
        <v>275</v>
      </c>
      <c r="H289" s="244"/>
      <c r="I289" s="246">
        <v>79</v>
      </c>
      <c r="J289" s="242" t="s">
        <v>276</v>
      </c>
      <c r="K289" s="244">
        <v>1533010002</v>
      </c>
      <c r="L289" s="244"/>
      <c r="M289" s="244"/>
      <c r="N289" s="244"/>
      <c r="O289" s="244"/>
      <c r="P289" s="244"/>
      <c r="Q289" s="244"/>
      <c r="R289" s="244"/>
      <c r="S289" s="244"/>
      <c r="T289" s="247">
        <v>-3448576</v>
      </c>
      <c r="U289" s="243" t="s">
        <v>277</v>
      </c>
      <c r="V289" s="244"/>
      <c r="W289" s="244"/>
      <c r="X289" s="244"/>
      <c r="Y289" s="244"/>
      <c r="Z289" s="244"/>
      <c r="AA289" s="244"/>
      <c r="AB289" s="243"/>
      <c r="AC289" s="243" t="s">
        <v>278</v>
      </c>
      <c r="AD289" s="244"/>
      <c r="AE289" s="244"/>
      <c r="AF289" s="248">
        <v>20250430</v>
      </c>
      <c r="AG289" s="244"/>
      <c r="AH289" s="244"/>
      <c r="AI289" s="249">
        <v>20250430</v>
      </c>
      <c r="AJ289" s="250"/>
      <c r="AK289" s="244">
        <v>8002514406</v>
      </c>
      <c r="AL289" s="250"/>
      <c r="AM289" s="244" t="s">
        <v>283</v>
      </c>
      <c r="AN289" s="244"/>
      <c r="AO289" s="234">
        <v>0</v>
      </c>
      <c r="AP289" s="232">
        <f t="shared" si="12"/>
        <v>3448576</v>
      </c>
      <c r="AQ289" s="230">
        <f t="shared" si="11"/>
        <v>4</v>
      </c>
    </row>
    <row r="290" spans="1:43" s="246" customFormat="1" ht="14.4">
      <c r="A290" s="242">
        <v>1</v>
      </c>
      <c r="B290" s="243" t="s">
        <v>273</v>
      </c>
      <c r="C290" s="244" t="s">
        <v>280</v>
      </c>
      <c r="D290" s="245">
        <v>45777</v>
      </c>
      <c r="E290" s="245">
        <v>45777</v>
      </c>
      <c r="F290" s="244" t="s">
        <v>281</v>
      </c>
      <c r="G290" s="242" t="s">
        <v>275</v>
      </c>
      <c r="H290" s="244"/>
      <c r="I290" s="246">
        <v>80</v>
      </c>
      <c r="J290" s="242" t="s">
        <v>276</v>
      </c>
      <c r="K290" s="244">
        <v>1533010002</v>
      </c>
      <c r="L290" s="244"/>
      <c r="M290" s="244"/>
      <c r="N290" s="244"/>
      <c r="O290" s="244"/>
      <c r="P290" s="244"/>
      <c r="Q290" s="244"/>
      <c r="R290" s="244"/>
      <c r="S290" s="244"/>
      <c r="T290" s="247">
        <v>-941316</v>
      </c>
      <c r="U290" s="243" t="s">
        <v>277</v>
      </c>
      <c r="V290" s="244"/>
      <c r="W290" s="244"/>
      <c r="X290" s="244"/>
      <c r="Y290" s="244"/>
      <c r="Z290" s="244"/>
      <c r="AA290" s="244"/>
      <c r="AB290" s="243"/>
      <c r="AC290" s="243" t="s">
        <v>278</v>
      </c>
      <c r="AD290" s="244"/>
      <c r="AE290" s="244"/>
      <c r="AF290" s="248">
        <v>20250430</v>
      </c>
      <c r="AG290" s="244"/>
      <c r="AH290" s="244"/>
      <c r="AI290" s="249">
        <v>20250430</v>
      </c>
      <c r="AJ290" s="250"/>
      <c r="AK290" s="244">
        <v>8600021839</v>
      </c>
      <c r="AL290" s="250"/>
      <c r="AM290" s="244" t="s">
        <v>288</v>
      </c>
      <c r="AN290" s="244"/>
      <c r="AO290" s="234">
        <v>0</v>
      </c>
      <c r="AP290" s="232">
        <f t="shared" si="12"/>
        <v>941316</v>
      </c>
      <c r="AQ290" s="230">
        <f t="shared" si="11"/>
        <v>4</v>
      </c>
    </row>
    <row r="291" spans="1:43" s="246" customFormat="1" ht="14.4">
      <c r="A291" s="242">
        <v>1</v>
      </c>
      <c r="B291" s="243" t="s">
        <v>273</v>
      </c>
      <c r="C291" s="244" t="s">
        <v>280</v>
      </c>
      <c r="D291" s="245">
        <v>45777</v>
      </c>
      <c r="E291" s="245">
        <v>45777</v>
      </c>
      <c r="F291" s="244" t="s">
        <v>281</v>
      </c>
      <c r="G291" s="242" t="s">
        <v>275</v>
      </c>
      <c r="H291" s="244"/>
      <c r="I291" s="246">
        <v>81</v>
      </c>
      <c r="J291" s="242" t="s">
        <v>276</v>
      </c>
      <c r="K291" s="244">
        <v>1533010002</v>
      </c>
      <c r="L291" s="244"/>
      <c r="M291" s="244"/>
      <c r="N291" s="244"/>
      <c r="O291" s="244"/>
      <c r="P291" s="244"/>
      <c r="Q291" s="244"/>
      <c r="R291" s="244"/>
      <c r="S291" s="244"/>
      <c r="T291" s="247">
        <v>-3193188</v>
      </c>
      <c r="U291" s="243" t="s">
        <v>277</v>
      </c>
      <c r="V291" s="244"/>
      <c r="W291" s="244"/>
      <c r="X291" s="244"/>
      <c r="Y291" s="244"/>
      <c r="Z291" s="244"/>
      <c r="AA291" s="244"/>
      <c r="AB291" s="243"/>
      <c r="AC291" s="243" t="s">
        <v>278</v>
      </c>
      <c r="AD291" s="244"/>
      <c r="AE291" s="244"/>
      <c r="AF291" s="248">
        <v>20250430</v>
      </c>
      <c r="AG291" s="244"/>
      <c r="AH291" s="244"/>
      <c r="AI291" s="249">
        <v>20250430</v>
      </c>
      <c r="AJ291" s="250"/>
      <c r="AK291" s="244">
        <v>8600021839</v>
      </c>
      <c r="AL291" s="250"/>
      <c r="AM291" s="244" t="s">
        <v>288</v>
      </c>
      <c r="AN291" s="244"/>
      <c r="AO291" s="234">
        <v>0</v>
      </c>
      <c r="AP291" s="232">
        <f t="shared" si="12"/>
        <v>3193188</v>
      </c>
      <c r="AQ291" s="230">
        <f t="shared" si="11"/>
        <v>4</v>
      </c>
    </row>
    <row r="292" spans="1:43" s="246" customFormat="1" ht="14.4">
      <c r="A292" s="242">
        <v>1</v>
      </c>
      <c r="B292" s="243" t="s">
        <v>273</v>
      </c>
      <c r="C292" s="244" t="s">
        <v>280</v>
      </c>
      <c r="D292" s="245">
        <v>45777</v>
      </c>
      <c r="E292" s="245">
        <v>45777</v>
      </c>
      <c r="F292" s="244" t="s">
        <v>281</v>
      </c>
      <c r="G292" s="242" t="s">
        <v>275</v>
      </c>
      <c r="H292" s="244"/>
      <c r="I292" s="246">
        <v>82</v>
      </c>
      <c r="J292" s="242" t="s">
        <v>276</v>
      </c>
      <c r="K292" s="244">
        <v>1533010002</v>
      </c>
      <c r="L292" s="244"/>
      <c r="M292" s="244"/>
      <c r="N292" s="244"/>
      <c r="O292" s="244"/>
      <c r="P292" s="244"/>
      <c r="Q292" s="244"/>
      <c r="R292" s="244"/>
      <c r="S292" s="244"/>
      <c r="T292" s="247">
        <v>-3877058</v>
      </c>
      <c r="U292" s="243" t="s">
        <v>277</v>
      </c>
      <c r="V292" s="244"/>
      <c r="W292" s="244"/>
      <c r="X292" s="244"/>
      <c r="Y292" s="244"/>
      <c r="Z292" s="244"/>
      <c r="AA292" s="244"/>
      <c r="AB292" s="243"/>
      <c r="AC292" s="243" t="s">
        <v>278</v>
      </c>
      <c r="AD292" s="244"/>
      <c r="AE292" s="244"/>
      <c r="AF292" s="248">
        <v>20250430</v>
      </c>
      <c r="AG292" s="244"/>
      <c r="AH292" s="244"/>
      <c r="AI292" s="249">
        <v>20250430</v>
      </c>
      <c r="AJ292" s="250"/>
      <c r="AK292" s="244">
        <v>8000887022</v>
      </c>
      <c r="AL292" s="250"/>
      <c r="AM292" s="244" t="s">
        <v>292</v>
      </c>
      <c r="AN292" s="244"/>
      <c r="AO292" s="234">
        <v>0</v>
      </c>
      <c r="AP292" s="232">
        <f t="shared" si="12"/>
        <v>3877058</v>
      </c>
      <c r="AQ292" s="230">
        <f t="shared" si="11"/>
        <v>4</v>
      </c>
    </row>
    <row r="293" spans="1:43" s="246" customFormat="1" ht="14.4">
      <c r="A293" s="242">
        <v>1</v>
      </c>
      <c r="B293" s="243" t="s">
        <v>273</v>
      </c>
      <c r="C293" s="244" t="s">
        <v>280</v>
      </c>
      <c r="D293" s="245">
        <v>45777</v>
      </c>
      <c r="E293" s="245">
        <v>45777</v>
      </c>
      <c r="F293" s="244" t="s">
        <v>281</v>
      </c>
      <c r="G293" s="242" t="s">
        <v>275</v>
      </c>
      <c r="H293" s="244"/>
      <c r="I293" s="246">
        <v>83</v>
      </c>
      <c r="J293" s="242" t="s">
        <v>276</v>
      </c>
      <c r="K293" s="244">
        <v>1533010002</v>
      </c>
      <c r="L293" s="244"/>
      <c r="M293" s="244"/>
      <c r="N293" s="244"/>
      <c r="O293" s="244"/>
      <c r="P293" s="244"/>
      <c r="Q293" s="244"/>
      <c r="R293" s="244"/>
      <c r="S293" s="244"/>
      <c r="T293" s="247">
        <v>-47450</v>
      </c>
      <c r="U293" s="243" t="s">
        <v>277</v>
      </c>
      <c r="V293" s="244"/>
      <c r="W293" s="244"/>
      <c r="X293" s="244"/>
      <c r="Y293" s="244"/>
      <c r="Z293" s="244"/>
      <c r="AA293" s="244"/>
      <c r="AB293" s="243"/>
      <c r="AC293" s="243" t="s">
        <v>278</v>
      </c>
      <c r="AD293" s="244"/>
      <c r="AE293" s="244"/>
      <c r="AF293" s="248">
        <v>20250430</v>
      </c>
      <c r="AG293" s="244"/>
      <c r="AH293" s="244"/>
      <c r="AI293" s="249">
        <v>20250430</v>
      </c>
      <c r="AJ293" s="250"/>
      <c r="AK293" s="244">
        <v>8060083947</v>
      </c>
      <c r="AL293" s="250"/>
      <c r="AM293" s="244" t="s">
        <v>293</v>
      </c>
      <c r="AN293" s="244"/>
      <c r="AO293" s="234">
        <v>0</v>
      </c>
      <c r="AP293" s="232">
        <f t="shared" si="12"/>
        <v>47450</v>
      </c>
      <c r="AQ293" s="230">
        <f t="shared" si="11"/>
        <v>4</v>
      </c>
    </row>
    <row r="294" spans="1:43" s="246" customFormat="1" ht="14.4">
      <c r="A294" s="242">
        <v>1</v>
      </c>
      <c r="B294" s="243" t="s">
        <v>273</v>
      </c>
      <c r="C294" s="244" t="s">
        <v>280</v>
      </c>
      <c r="D294" s="245">
        <v>45777</v>
      </c>
      <c r="E294" s="245">
        <v>45777</v>
      </c>
      <c r="F294" s="244" t="s">
        <v>281</v>
      </c>
      <c r="G294" s="242" t="s">
        <v>275</v>
      </c>
      <c r="H294" s="244"/>
      <c r="I294" s="246">
        <v>84</v>
      </c>
      <c r="J294" s="242" t="s">
        <v>276</v>
      </c>
      <c r="K294" s="244">
        <v>1533010002</v>
      </c>
      <c r="L294" s="244"/>
      <c r="M294" s="244"/>
      <c r="N294" s="244"/>
      <c r="O294" s="244"/>
      <c r="P294" s="244"/>
      <c r="Q294" s="244"/>
      <c r="R294" s="244"/>
      <c r="S294" s="244"/>
      <c r="T294" s="247">
        <v>-2664122</v>
      </c>
      <c r="U294" s="243" t="s">
        <v>277</v>
      </c>
      <c r="V294" s="244"/>
      <c r="W294" s="244"/>
      <c r="X294" s="244"/>
      <c r="Y294" s="244"/>
      <c r="Z294" s="244"/>
      <c r="AA294" s="244"/>
      <c r="AB294" s="243"/>
      <c r="AC294" s="243" t="s">
        <v>278</v>
      </c>
      <c r="AD294" s="244"/>
      <c r="AE294" s="244"/>
      <c r="AF294" s="248">
        <v>20250430</v>
      </c>
      <c r="AG294" s="244"/>
      <c r="AH294" s="244"/>
      <c r="AI294" s="249">
        <v>20250430</v>
      </c>
      <c r="AJ294" s="250"/>
      <c r="AK294" s="244">
        <v>8002514406</v>
      </c>
      <c r="AL294" s="250"/>
      <c r="AM294" s="244" t="s">
        <v>283</v>
      </c>
      <c r="AN294" s="244"/>
      <c r="AO294" s="234">
        <v>0</v>
      </c>
      <c r="AP294" s="232">
        <f t="shared" si="12"/>
        <v>2664122</v>
      </c>
      <c r="AQ294" s="230">
        <f t="shared" si="11"/>
        <v>4</v>
      </c>
    </row>
    <row r="295" spans="1:43" s="246" customFormat="1" ht="14.4">
      <c r="A295" s="242">
        <v>1</v>
      </c>
      <c r="B295" s="243" t="s">
        <v>273</v>
      </c>
      <c r="C295" s="244" t="s">
        <v>280</v>
      </c>
      <c r="D295" s="245">
        <v>45777</v>
      </c>
      <c r="E295" s="245">
        <v>45777</v>
      </c>
      <c r="F295" s="244" t="s">
        <v>281</v>
      </c>
      <c r="G295" s="242" t="s">
        <v>275</v>
      </c>
      <c r="H295" s="244"/>
      <c r="I295" s="246">
        <v>85</v>
      </c>
      <c r="J295" s="242" t="s">
        <v>276</v>
      </c>
      <c r="K295" s="244">
        <v>1533010002</v>
      </c>
      <c r="L295" s="244"/>
      <c r="M295" s="244"/>
      <c r="N295" s="244"/>
      <c r="O295" s="244"/>
      <c r="P295" s="244"/>
      <c r="Q295" s="244"/>
      <c r="R295" s="244"/>
      <c r="S295" s="244"/>
      <c r="T295" s="247">
        <v>-5560792</v>
      </c>
      <c r="U295" s="243" t="s">
        <v>277</v>
      </c>
      <c r="V295" s="244"/>
      <c r="W295" s="244"/>
      <c r="X295" s="244"/>
      <c r="Y295" s="244"/>
      <c r="Z295" s="244"/>
      <c r="AA295" s="244"/>
      <c r="AB295" s="243"/>
      <c r="AC295" s="243" t="s">
        <v>278</v>
      </c>
      <c r="AD295" s="244"/>
      <c r="AE295" s="244"/>
      <c r="AF295" s="248">
        <v>20250430</v>
      </c>
      <c r="AG295" s="244"/>
      <c r="AH295" s="244"/>
      <c r="AI295" s="249">
        <v>20250430</v>
      </c>
      <c r="AJ295" s="250"/>
      <c r="AK295" s="244">
        <v>8000887022</v>
      </c>
      <c r="AL295" s="250"/>
      <c r="AM295" s="244" t="s">
        <v>292</v>
      </c>
      <c r="AN295" s="244"/>
      <c r="AO295" s="234">
        <v>0</v>
      </c>
      <c r="AP295" s="232">
        <f t="shared" si="12"/>
        <v>5560792</v>
      </c>
      <c r="AQ295" s="230">
        <f t="shared" si="11"/>
        <v>4</v>
      </c>
    </row>
    <row r="296" spans="1:43" s="246" customFormat="1" ht="14.4">
      <c r="A296" s="242">
        <v>1</v>
      </c>
      <c r="B296" s="243" t="s">
        <v>273</v>
      </c>
      <c r="C296" s="244" t="s">
        <v>280</v>
      </c>
      <c r="D296" s="245">
        <v>45777</v>
      </c>
      <c r="E296" s="245">
        <v>45777</v>
      </c>
      <c r="F296" s="244" t="s">
        <v>281</v>
      </c>
      <c r="G296" s="242" t="s">
        <v>275</v>
      </c>
      <c r="H296" s="244"/>
      <c r="I296" s="246">
        <v>86</v>
      </c>
      <c r="J296" s="242" t="s">
        <v>276</v>
      </c>
      <c r="K296" s="244">
        <v>1533010002</v>
      </c>
      <c r="L296" s="244"/>
      <c r="M296" s="244"/>
      <c r="N296" s="244"/>
      <c r="O296" s="244"/>
      <c r="P296" s="244"/>
      <c r="Q296" s="244"/>
      <c r="R296" s="244"/>
      <c r="S296" s="244"/>
      <c r="T296" s="247">
        <v>-142350</v>
      </c>
      <c r="U296" s="243" t="s">
        <v>277</v>
      </c>
      <c r="V296" s="244"/>
      <c r="W296" s="244"/>
      <c r="X296" s="244"/>
      <c r="Y296" s="244"/>
      <c r="Z296" s="244"/>
      <c r="AA296" s="244"/>
      <c r="AB296" s="243"/>
      <c r="AC296" s="243" t="s">
        <v>278</v>
      </c>
      <c r="AD296" s="244"/>
      <c r="AE296" s="244"/>
      <c r="AF296" s="248">
        <v>20250430</v>
      </c>
      <c r="AG296" s="244"/>
      <c r="AH296" s="244"/>
      <c r="AI296" s="249">
        <v>20250430</v>
      </c>
      <c r="AJ296" s="250"/>
      <c r="AK296" s="244">
        <v>8600669427</v>
      </c>
      <c r="AL296" s="250"/>
      <c r="AM296" s="244" t="s">
        <v>289</v>
      </c>
      <c r="AN296" s="244"/>
      <c r="AO296" s="234">
        <v>0</v>
      </c>
      <c r="AP296" s="232">
        <f t="shared" si="12"/>
        <v>142350</v>
      </c>
      <c r="AQ296" s="230">
        <f t="shared" si="11"/>
        <v>4</v>
      </c>
    </row>
    <row r="297" spans="1:43" s="246" customFormat="1" ht="14.4">
      <c r="A297" s="242">
        <v>1</v>
      </c>
      <c r="B297" s="243" t="s">
        <v>273</v>
      </c>
      <c r="C297" s="244" t="s">
        <v>280</v>
      </c>
      <c r="D297" s="245">
        <v>45777</v>
      </c>
      <c r="E297" s="245">
        <v>45777</v>
      </c>
      <c r="F297" s="244" t="s">
        <v>281</v>
      </c>
      <c r="G297" s="242" t="s">
        <v>275</v>
      </c>
      <c r="H297" s="244"/>
      <c r="I297" s="246">
        <v>87</v>
      </c>
      <c r="J297" s="242" t="s">
        <v>276</v>
      </c>
      <c r="K297" s="244">
        <v>1533010002</v>
      </c>
      <c r="L297" s="244"/>
      <c r="M297" s="244"/>
      <c r="N297" s="244"/>
      <c r="O297" s="244"/>
      <c r="P297" s="244"/>
      <c r="Q297" s="244"/>
      <c r="R297" s="244"/>
      <c r="S297" s="244"/>
      <c r="T297" s="247">
        <v>-8105862</v>
      </c>
      <c r="U297" s="243" t="s">
        <v>277</v>
      </c>
      <c r="V297" s="244"/>
      <c r="W297" s="244"/>
      <c r="X297" s="244"/>
      <c r="Y297" s="244"/>
      <c r="Z297" s="244"/>
      <c r="AA297" s="244"/>
      <c r="AB297" s="243"/>
      <c r="AC297" s="243" t="s">
        <v>278</v>
      </c>
      <c r="AD297" s="244"/>
      <c r="AE297" s="244"/>
      <c r="AF297" s="248">
        <v>20250430</v>
      </c>
      <c r="AG297" s="244"/>
      <c r="AH297" s="244"/>
      <c r="AI297" s="249">
        <v>20250430</v>
      </c>
      <c r="AJ297" s="250"/>
      <c r="AK297" s="244">
        <v>9001562642</v>
      </c>
      <c r="AL297" s="250"/>
      <c r="AM297" s="244" t="s">
        <v>316</v>
      </c>
      <c r="AN297" s="244"/>
      <c r="AO297" s="234">
        <v>0</v>
      </c>
      <c r="AP297" s="232">
        <f t="shared" si="12"/>
        <v>8105862</v>
      </c>
      <c r="AQ297" s="230">
        <f t="shared" si="11"/>
        <v>4</v>
      </c>
    </row>
    <row r="298" spans="1:43" s="246" customFormat="1" ht="14.4">
      <c r="A298" s="242">
        <v>1</v>
      </c>
      <c r="B298" s="243" t="s">
        <v>273</v>
      </c>
      <c r="C298" s="244" t="s">
        <v>280</v>
      </c>
      <c r="D298" s="245">
        <v>45777</v>
      </c>
      <c r="E298" s="245">
        <v>45777</v>
      </c>
      <c r="F298" s="244" t="s">
        <v>281</v>
      </c>
      <c r="G298" s="242" t="s">
        <v>275</v>
      </c>
      <c r="H298" s="244"/>
      <c r="I298" s="246">
        <v>88</v>
      </c>
      <c r="J298" s="242" t="s">
        <v>276</v>
      </c>
      <c r="K298" s="244">
        <v>1533010002</v>
      </c>
      <c r="L298" s="244"/>
      <c r="M298" s="244"/>
      <c r="N298" s="244"/>
      <c r="O298" s="244"/>
      <c r="P298" s="244"/>
      <c r="Q298" s="244"/>
      <c r="R298" s="244"/>
      <c r="S298" s="244"/>
      <c r="T298" s="247">
        <v>-5078181</v>
      </c>
      <c r="U298" s="243" t="s">
        <v>277</v>
      </c>
      <c r="V298" s="244"/>
      <c r="W298" s="244"/>
      <c r="X298" s="244"/>
      <c r="Y298" s="244"/>
      <c r="Z298" s="244"/>
      <c r="AA298" s="244"/>
      <c r="AB298" s="243"/>
      <c r="AC298" s="243" t="s">
        <v>278</v>
      </c>
      <c r="AD298" s="244"/>
      <c r="AE298" s="244"/>
      <c r="AF298" s="248">
        <v>20250430</v>
      </c>
      <c r="AG298" s="244"/>
      <c r="AH298" s="244"/>
      <c r="AI298" s="249">
        <v>20250430</v>
      </c>
      <c r="AJ298" s="250"/>
      <c r="AK298" s="244">
        <v>8002514406</v>
      </c>
      <c r="AL298" s="250"/>
      <c r="AM298" s="244" t="s">
        <v>283</v>
      </c>
      <c r="AN298" s="244"/>
      <c r="AO298" s="234">
        <v>0</v>
      </c>
      <c r="AP298" s="232">
        <f t="shared" si="12"/>
        <v>5078181</v>
      </c>
      <c r="AQ298" s="230">
        <f t="shared" si="11"/>
        <v>4</v>
      </c>
    </row>
    <row r="299" spans="1:43" s="246" customFormat="1" ht="14.4">
      <c r="A299" s="242">
        <v>1</v>
      </c>
      <c r="B299" s="243" t="s">
        <v>273</v>
      </c>
      <c r="C299" s="244" t="s">
        <v>280</v>
      </c>
      <c r="D299" s="245">
        <v>45777</v>
      </c>
      <c r="E299" s="245">
        <v>45777</v>
      </c>
      <c r="F299" s="244" t="s">
        <v>281</v>
      </c>
      <c r="G299" s="242" t="s">
        <v>275</v>
      </c>
      <c r="H299" s="244"/>
      <c r="I299" s="246">
        <v>89</v>
      </c>
      <c r="J299" s="242" t="s">
        <v>276</v>
      </c>
      <c r="K299" s="244">
        <v>1533010002</v>
      </c>
      <c r="L299" s="244"/>
      <c r="M299" s="244"/>
      <c r="N299" s="244"/>
      <c r="O299" s="244"/>
      <c r="P299" s="244"/>
      <c r="Q299" s="244"/>
      <c r="R299" s="244"/>
      <c r="S299" s="244"/>
      <c r="T299" s="247">
        <v>-47450</v>
      </c>
      <c r="U299" s="243" t="s">
        <v>277</v>
      </c>
      <c r="V299" s="244"/>
      <c r="W299" s="244"/>
      <c r="X299" s="244"/>
      <c r="Y299" s="244"/>
      <c r="Z299" s="244"/>
      <c r="AA299" s="244"/>
      <c r="AB299" s="243"/>
      <c r="AC299" s="243" t="s">
        <v>278</v>
      </c>
      <c r="AD299" s="244"/>
      <c r="AE299" s="244"/>
      <c r="AF299" s="248">
        <v>20250430</v>
      </c>
      <c r="AG299" s="244"/>
      <c r="AH299" s="244"/>
      <c r="AI299" s="249">
        <v>20250430</v>
      </c>
      <c r="AJ299" s="250"/>
      <c r="AK299" s="244">
        <v>9006043500</v>
      </c>
      <c r="AL299" s="250"/>
      <c r="AM299" s="244" t="s">
        <v>295</v>
      </c>
      <c r="AN299" s="244"/>
      <c r="AO299" s="234">
        <v>0</v>
      </c>
      <c r="AP299" s="232">
        <f t="shared" si="12"/>
        <v>47450</v>
      </c>
      <c r="AQ299" s="230">
        <f t="shared" si="11"/>
        <v>4</v>
      </c>
    </row>
    <row r="300" spans="1:43" s="246" customFormat="1" ht="14.4">
      <c r="A300" s="242">
        <v>1</v>
      </c>
      <c r="B300" s="243" t="s">
        <v>273</v>
      </c>
      <c r="C300" s="244" t="s">
        <v>280</v>
      </c>
      <c r="D300" s="245">
        <v>45777</v>
      </c>
      <c r="E300" s="245">
        <v>45777</v>
      </c>
      <c r="F300" s="244" t="s">
        <v>281</v>
      </c>
      <c r="G300" s="242" t="s">
        <v>275</v>
      </c>
      <c r="H300" s="244"/>
      <c r="I300" s="246">
        <v>90</v>
      </c>
      <c r="J300" s="242" t="s">
        <v>276</v>
      </c>
      <c r="K300" s="244">
        <v>1533010002</v>
      </c>
      <c r="L300" s="244"/>
      <c r="M300" s="244"/>
      <c r="N300" s="244"/>
      <c r="O300" s="244"/>
      <c r="P300" s="244"/>
      <c r="Q300" s="244"/>
      <c r="R300" s="244"/>
      <c r="S300" s="244"/>
      <c r="T300" s="247">
        <v>-1470950</v>
      </c>
      <c r="U300" s="243" t="s">
        <v>277</v>
      </c>
      <c r="V300" s="244"/>
      <c r="W300" s="244"/>
      <c r="X300" s="244"/>
      <c r="Y300" s="244"/>
      <c r="Z300" s="244"/>
      <c r="AA300" s="244"/>
      <c r="AB300" s="243"/>
      <c r="AC300" s="243" t="s">
        <v>278</v>
      </c>
      <c r="AD300" s="244"/>
      <c r="AE300" s="244"/>
      <c r="AF300" s="248">
        <v>20250430</v>
      </c>
      <c r="AG300" s="244"/>
      <c r="AH300" s="244"/>
      <c r="AI300" s="249">
        <v>20250430</v>
      </c>
      <c r="AJ300" s="250"/>
      <c r="AK300" s="244">
        <v>8600669427</v>
      </c>
      <c r="AL300" s="250"/>
      <c r="AM300" s="244" t="s">
        <v>289</v>
      </c>
      <c r="AN300" s="244"/>
      <c r="AO300" s="234">
        <v>0</v>
      </c>
      <c r="AP300" s="232">
        <f t="shared" si="12"/>
        <v>1470950</v>
      </c>
      <c r="AQ300" s="230">
        <f t="shared" si="11"/>
        <v>4</v>
      </c>
    </row>
    <row r="301" spans="1:43" s="246" customFormat="1" ht="14.4">
      <c r="A301" s="242">
        <v>1</v>
      </c>
      <c r="B301" s="243" t="s">
        <v>273</v>
      </c>
      <c r="C301" s="244" t="s">
        <v>280</v>
      </c>
      <c r="D301" s="245">
        <v>45777</v>
      </c>
      <c r="E301" s="245">
        <v>45777</v>
      </c>
      <c r="F301" s="244" t="s">
        <v>281</v>
      </c>
      <c r="G301" s="242" t="s">
        <v>275</v>
      </c>
      <c r="H301" s="244"/>
      <c r="I301" s="246">
        <v>91</v>
      </c>
      <c r="J301" s="242" t="s">
        <v>276</v>
      </c>
      <c r="K301" s="244">
        <v>1533010002</v>
      </c>
      <c r="L301" s="244"/>
      <c r="M301" s="244"/>
      <c r="N301" s="244"/>
      <c r="O301" s="244"/>
      <c r="P301" s="244"/>
      <c r="Q301" s="244"/>
      <c r="R301" s="244"/>
      <c r="S301" s="244"/>
      <c r="T301" s="247">
        <v>-186101</v>
      </c>
      <c r="U301" s="243" t="s">
        <v>277</v>
      </c>
      <c r="V301" s="244"/>
      <c r="W301" s="244"/>
      <c r="X301" s="244"/>
      <c r="Y301" s="244"/>
      <c r="Z301" s="244"/>
      <c r="AA301" s="244"/>
      <c r="AB301" s="243"/>
      <c r="AC301" s="243" t="s">
        <v>278</v>
      </c>
      <c r="AD301" s="244"/>
      <c r="AE301" s="244"/>
      <c r="AF301" s="248">
        <v>20250430</v>
      </c>
      <c r="AG301" s="244"/>
      <c r="AH301" s="244"/>
      <c r="AI301" s="249">
        <v>20250430</v>
      </c>
      <c r="AJ301" s="250"/>
      <c r="AK301" s="244">
        <v>8600021839</v>
      </c>
      <c r="AL301" s="250"/>
      <c r="AM301" s="244" t="s">
        <v>288</v>
      </c>
      <c r="AN301" s="244"/>
      <c r="AO301" s="234">
        <v>0</v>
      </c>
      <c r="AP301" s="232">
        <f t="shared" si="12"/>
        <v>186101</v>
      </c>
      <c r="AQ301" s="230">
        <f t="shared" si="11"/>
        <v>4</v>
      </c>
    </row>
    <row r="302" spans="1:43" s="246" customFormat="1" ht="14.4">
      <c r="A302" s="242">
        <v>1</v>
      </c>
      <c r="B302" s="243" t="s">
        <v>273</v>
      </c>
      <c r="C302" s="244" t="s">
        <v>280</v>
      </c>
      <c r="D302" s="245">
        <v>45777</v>
      </c>
      <c r="E302" s="245">
        <v>45777</v>
      </c>
      <c r="F302" s="244" t="s">
        <v>281</v>
      </c>
      <c r="G302" s="242" t="s">
        <v>275</v>
      </c>
      <c r="H302" s="244"/>
      <c r="I302" s="246">
        <v>92</v>
      </c>
      <c r="J302" s="242" t="s">
        <v>276</v>
      </c>
      <c r="K302" s="244">
        <v>1533010002</v>
      </c>
      <c r="L302" s="244"/>
      <c r="M302" s="244"/>
      <c r="N302" s="244"/>
      <c r="O302" s="244"/>
      <c r="P302" s="244"/>
      <c r="Q302" s="244"/>
      <c r="R302" s="244"/>
      <c r="S302" s="244"/>
      <c r="T302" s="247">
        <v>-8301206</v>
      </c>
      <c r="U302" s="243" t="s">
        <v>277</v>
      </c>
      <c r="V302" s="244"/>
      <c r="W302" s="244"/>
      <c r="X302" s="244"/>
      <c r="Y302" s="244"/>
      <c r="Z302" s="244"/>
      <c r="AA302" s="244"/>
      <c r="AB302" s="243"/>
      <c r="AC302" s="243" t="s">
        <v>278</v>
      </c>
      <c r="AD302" s="244"/>
      <c r="AE302" s="244"/>
      <c r="AF302" s="248">
        <v>20250430</v>
      </c>
      <c r="AG302" s="244"/>
      <c r="AH302" s="244"/>
      <c r="AI302" s="249">
        <v>20250430</v>
      </c>
      <c r="AJ302" s="250"/>
      <c r="AK302" s="244">
        <v>8002514406</v>
      </c>
      <c r="AL302" s="250"/>
      <c r="AM302" s="244" t="s">
        <v>283</v>
      </c>
      <c r="AN302" s="244"/>
      <c r="AO302" s="234">
        <v>0</v>
      </c>
      <c r="AP302" s="232">
        <f t="shared" si="12"/>
        <v>8301206</v>
      </c>
      <c r="AQ302" s="230">
        <f t="shared" si="11"/>
        <v>4</v>
      </c>
    </row>
    <row r="303" spans="1:43" s="246" customFormat="1" ht="14.4">
      <c r="A303" s="242">
        <v>1</v>
      </c>
      <c r="B303" s="243" t="s">
        <v>273</v>
      </c>
      <c r="C303" s="244" t="s">
        <v>280</v>
      </c>
      <c r="D303" s="245">
        <v>45777</v>
      </c>
      <c r="E303" s="245">
        <v>45777</v>
      </c>
      <c r="F303" s="244" t="s">
        <v>281</v>
      </c>
      <c r="G303" s="242" t="s">
        <v>275</v>
      </c>
      <c r="H303" s="244"/>
      <c r="I303" s="246">
        <v>93</v>
      </c>
      <c r="J303" s="242" t="s">
        <v>276</v>
      </c>
      <c r="K303" s="244">
        <v>1533010002</v>
      </c>
      <c r="L303" s="244"/>
      <c r="M303" s="244"/>
      <c r="N303" s="244"/>
      <c r="O303" s="244"/>
      <c r="P303" s="244"/>
      <c r="Q303" s="244"/>
      <c r="R303" s="244"/>
      <c r="S303" s="244"/>
      <c r="T303" s="247">
        <v>-333540</v>
      </c>
      <c r="U303" s="243" t="s">
        <v>277</v>
      </c>
      <c r="V303" s="244"/>
      <c r="W303" s="244"/>
      <c r="X303" s="244"/>
      <c r="Y303" s="244"/>
      <c r="Z303" s="244"/>
      <c r="AA303" s="244"/>
      <c r="AB303" s="243"/>
      <c r="AC303" s="243" t="s">
        <v>278</v>
      </c>
      <c r="AD303" s="244"/>
      <c r="AE303" s="244"/>
      <c r="AF303" s="248">
        <v>20250430</v>
      </c>
      <c r="AG303" s="244"/>
      <c r="AH303" s="244"/>
      <c r="AI303" s="249">
        <v>20250430</v>
      </c>
      <c r="AJ303" s="250"/>
      <c r="AK303" s="244">
        <v>8300035647</v>
      </c>
      <c r="AL303" s="250"/>
      <c r="AM303" s="244" t="s">
        <v>286</v>
      </c>
      <c r="AN303" s="244"/>
      <c r="AO303" s="234">
        <v>0</v>
      </c>
      <c r="AP303" s="232">
        <f t="shared" si="12"/>
        <v>333540</v>
      </c>
      <c r="AQ303" s="230">
        <f t="shared" si="11"/>
        <v>4</v>
      </c>
    </row>
    <row r="304" spans="1:43" s="246" customFormat="1" ht="14.4">
      <c r="A304" s="242">
        <v>1</v>
      </c>
      <c r="B304" s="243" t="s">
        <v>273</v>
      </c>
      <c r="C304" s="244" t="s">
        <v>280</v>
      </c>
      <c r="D304" s="245">
        <v>45777</v>
      </c>
      <c r="E304" s="245">
        <v>45777</v>
      </c>
      <c r="F304" s="244" t="s">
        <v>281</v>
      </c>
      <c r="G304" s="242" t="s">
        <v>275</v>
      </c>
      <c r="H304" s="244"/>
      <c r="I304" s="246">
        <v>94</v>
      </c>
      <c r="J304" s="242" t="s">
        <v>276</v>
      </c>
      <c r="K304" s="244">
        <v>1533010002</v>
      </c>
      <c r="L304" s="244"/>
      <c r="M304" s="244"/>
      <c r="N304" s="244"/>
      <c r="O304" s="244"/>
      <c r="P304" s="244"/>
      <c r="Q304" s="244"/>
      <c r="R304" s="244"/>
      <c r="S304" s="244"/>
      <c r="T304" s="247">
        <v>-47450</v>
      </c>
      <c r="U304" s="243" t="s">
        <v>277</v>
      </c>
      <c r="V304" s="244"/>
      <c r="W304" s="244"/>
      <c r="X304" s="244"/>
      <c r="Y304" s="244"/>
      <c r="Z304" s="244"/>
      <c r="AA304" s="244"/>
      <c r="AB304" s="243"/>
      <c r="AC304" s="243" t="s">
        <v>278</v>
      </c>
      <c r="AD304" s="244"/>
      <c r="AE304" s="244"/>
      <c r="AF304" s="248">
        <v>20250430</v>
      </c>
      <c r="AG304" s="244"/>
      <c r="AH304" s="244"/>
      <c r="AI304" s="249">
        <v>20250430</v>
      </c>
      <c r="AJ304" s="250"/>
      <c r="AK304" s="244">
        <v>8140003371</v>
      </c>
      <c r="AL304" s="250"/>
      <c r="AM304" s="244" t="s">
        <v>285</v>
      </c>
      <c r="AN304" s="244"/>
      <c r="AO304" s="234">
        <v>0</v>
      </c>
      <c r="AP304" s="232">
        <f t="shared" si="12"/>
        <v>47450</v>
      </c>
      <c r="AQ304" s="230">
        <f t="shared" si="11"/>
        <v>4</v>
      </c>
    </row>
    <row r="305" spans="1:43" s="246" customFormat="1" ht="14.4">
      <c r="A305" s="242">
        <v>1</v>
      </c>
      <c r="B305" s="243" t="s">
        <v>273</v>
      </c>
      <c r="C305" s="244" t="s">
        <v>280</v>
      </c>
      <c r="D305" s="245">
        <v>45777</v>
      </c>
      <c r="E305" s="245">
        <v>45777</v>
      </c>
      <c r="F305" s="244" t="s">
        <v>281</v>
      </c>
      <c r="G305" s="242" t="s">
        <v>275</v>
      </c>
      <c r="H305" s="244"/>
      <c r="I305" s="246">
        <v>95</v>
      </c>
      <c r="J305" s="242" t="s">
        <v>276</v>
      </c>
      <c r="K305" s="244">
        <v>1533010002</v>
      </c>
      <c r="L305" s="244"/>
      <c r="M305" s="244"/>
      <c r="N305" s="244"/>
      <c r="O305" s="244"/>
      <c r="P305" s="244"/>
      <c r="Q305" s="244"/>
      <c r="R305" s="244"/>
      <c r="S305" s="244"/>
      <c r="T305" s="247">
        <v>-14238521</v>
      </c>
      <c r="U305" s="243" t="s">
        <v>277</v>
      </c>
      <c r="V305" s="244"/>
      <c r="W305" s="244"/>
      <c r="X305" s="244"/>
      <c r="Y305" s="244"/>
      <c r="Z305" s="244"/>
      <c r="AA305" s="244"/>
      <c r="AB305" s="243"/>
      <c r="AC305" s="243" t="s">
        <v>278</v>
      </c>
      <c r="AD305" s="244"/>
      <c r="AE305" s="244"/>
      <c r="AF305" s="248">
        <v>20250430</v>
      </c>
      <c r="AG305" s="244"/>
      <c r="AH305" s="244"/>
      <c r="AI305" s="249">
        <v>20250430</v>
      </c>
      <c r="AJ305" s="250"/>
      <c r="AK305" s="244">
        <v>8001309074</v>
      </c>
      <c r="AL305" s="250"/>
      <c r="AM305" s="244" t="s">
        <v>305</v>
      </c>
      <c r="AN305" s="244"/>
      <c r="AO305" s="234">
        <v>0</v>
      </c>
      <c r="AP305" s="232">
        <f t="shared" si="12"/>
        <v>14238521</v>
      </c>
      <c r="AQ305" s="230">
        <f t="shared" si="11"/>
        <v>4</v>
      </c>
    </row>
    <row r="306" spans="1:43" s="246" customFormat="1" ht="14.4">
      <c r="A306" s="242">
        <v>1</v>
      </c>
      <c r="B306" s="243" t="s">
        <v>273</v>
      </c>
      <c r="C306" s="244" t="s">
        <v>280</v>
      </c>
      <c r="D306" s="245">
        <v>45777</v>
      </c>
      <c r="E306" s="245">
        <v>45777</v>
      </c>
      <c r="F306" s="244" t="s">
        <v>281</v>
      </c>
      <c r="G306" s="242" t="s">
        <v>275</v>
      </c>
      <c r="H306" s="244"/>
      <c r="I306" s="246">
        <v>96</v>
      </c>
      <c r="J306" s="242" t="s">
        <v>276</v>
      </c>
      <c r="K306" s="244">
        <v>1533010002</v>
      </c>
      <c r="L306" s="244"/>
      <c r="M306" s="244"/>
      <c r="N306" s="244"/>
      <c r="O306" s="244"/>
      <c r="P306" s="244"/>
      <c r="Q306" s="244"/>
      <c r="R306" s="244"/>
      <c r="S306" s="244"/>
      <c r="T306" s="247">
        <v>-68629</v>
      </c>
      <c r="U306" s="243" t="s">
        <v>277</v>
      </c>
      <c r="V306" s="244"/>
      <c r="W306" s="244"/>
      <c r="X306" s="244"/>
      <c r="Y306" s="244"/>
      <c r="Z306" s="244"/>
      <c r="AA306" s="244"/>
      <c r="AB306" s="243"/>
      <c r="AC306" s="243" t="s">
        <v>278</v>
      </c>
      <c r="AD306" s="244"/>
      <c r="AE306" s="244"/>
      <c r="AF306" s="248">
        <v>20250430</v>
      </c>
      <c r="AG306" s="244"/>
      <c r="AH306" s="244"/>
      <c r="AI306" s="249">
        <v>20250430</v>
      </c>
      <c r="AJ306" s="250"/>
      <c r="AK306" s="244">
        <v>8600669427</v>
      </c>
      <c r="AL306" s="250"/>
      <c r="AM306" s="244" t="s">
        <v>289</v>
      </c>
      <c r="AN306" s="244"/>
      <c r="AO306" s="234">
        <v>0</v>
      </c>
      <c r="AP306" s="232">
        <f t="shared" si="12"/>
        <v>68629</v>
      </c>
      <c r="AQ306" s="230">
        <f t="shared" si="11"/>
        <v>4</v>
      </c>
    </row>
    <row r="307" spans="1:43" s="246" customFormat="1" ht="14.4">
      <c r="A307" s="242">
        <v>1</v>
      </c>
      <c r="B307" s="243" t="s">
        <v>273</v>
      </c>
      <c r="C307" s="244" t="s">
        <v>280</v>
      </c>
      <c r="D307" s="245">
        <v>45777</v>
      </c>
      <c r="E307" s="245">
        <v>45777</v>
      </c>
      <c r="F307" s="244" t="s">
        <v>281</v>
      </c>
      <c r="G307" s="242" t="s">
        <v>275</v>
      </c>
      <c r="H307" s="244"/>
      <c r="I307" s="246">
        <v>97</v>
      </c>
      <c r="J307" s="242" t="s">
        <v>276</v>
      </c>
      <c r="K307" s="244">
        <v>1533010002</v>
      </c>
      <c r="L307" s="244"/>
      <c r="M307" s="244"/>
      <c r="N307" s="244"/>
      <c r="O307" s="244"/>
      <c r="P307" s="244"/>
      <c r="Q307" s="244"/>
      <c r="R307" s="244"/>
      <c r="S307" s="244"/>
      <c r="T307" s="247">
        <v>-1820350</v>
      </c>
      <c r="U307" s="243" t="s">
        <v>277</v>
      </c>
      <c r="V307" s="244"/>
      <c r="W307" s="244"/>
      <c r="X307" s="244"/>
      <c r="Y307" s="244"/>
      <c r="Z307" s="244"/>
      <c r="AA307" s="244"/>
      <c r="AB307" s="243"/>
      <c r="AC307" s="243" t="s">
        <v>278</v>
      </c>
      <c r="AD307" s="244"/>
      <c r="AE307" s="244"/>
      <c r="AF307" s="248">
        <v>20250430</v>
      </c>
      <c r="AG307" s="244"/>
      <c r="AH307" s="244"/>
      <c r="AI307" s="249">
        <v>20250430</v>
      </c>
      <c r="AJ307" s="250"/>
      <c r="AK307" s="244">
        <v>8600021839</v>
      </c>
      <c r="AL307" s="250"/>
      <c r="AM307" s="244" t="s">
        <v>288</v>
      </c>
      <c r="AN307" s="244"/>
      <c r="AO307" s="234">
        <v>0</v>
      </c>
      <c r="AP307" s="232">
        <f t="shared" si="12"/>
        <v>1820350</v>
      </c>
      <c r="AQ307" s="230">
        <f t="shared" si="11"/>
        <v>4</v>
      </c>
    </row>
    <row r="308" spans="1:43" s="246" customFormat="1" ht="14.4">
      <c r="A308" s="242">
        <v>1</v>
      </c>
      <c r="B308" s="243" t="s">
        <v>273</v>
      </c>
      <c r="C308" s="244" t="s">
        <v>280</v>
      </c>
      <c r="D308" s="245">
        <v>45777</v>
      </c>
      <c r="E308" s="245">
        <v>45777</v>
      </c>
      <c r="F308" s="244" t="s">
        <v>281</v>
      </c>
      <c r="G308" s="242" t="s">
        <v>275</v>
      </c>
      <c r="H308" s="244"/>
      <c r="I308" s="246">
        <v>98</v>
      </c>
      <c r="J308" s="242" t="s">
        <v>276</v>
      </c>
      <c r="K308" s="244">
        <v>1533010002</v>
      </c>
      <c r="L308" s="244"/>
      <c r="M308" s="244"/>
      <c r="N308" s="244"/>
      <c r="O308" s="244"/>
      <c r="P308" s="244"/>
      <c r="Q308" s="244"/>
      <c r="R308" s="244"/>
      <c r="S308" s="244"/>
      <c r="T308" s="247">
        <v>-237250</v>
      </c>
      <c r="U308" s="243" t="s">
        <v>277</v>
      </c>
      <c r="V308" s="244"/>
      <c r="W308" s="244"/>
      <c r="X308" s="244"/>
      <c r="Y308" s="244"/>
      <c r="Z308" s="244"/>
      <c r="AA308" s="244"/>
      <c r="AB308" s="243"/>
      <c r="AC308" s="243" t="s">
        <v>278</v>
      </c>
      <c r="AD308" s="244"/>
      <c r="AE308" s="244"/>
      <c r="AF308" s="248">
        <v>20250430</v>
      </c>
      <c r="AG308" s="244"/>
      <c r="AH308" s="244"/>
      <c r="AI308" s="249">
        <v>20250430</v>
      </c>
      <c r="AJ308" s="250"/>
      <c r="AK308" s="244">
        <v>8002514406</v>
      </c>
      <c r="AL308" s="250"/>
      <c r="AM308" s="244" t="s">
        <v>283</v>
      </c>
      <c r="AN308" s="244"/>
      <c r="AO308" s="234">
        <v>0</v>
      </c>
      <c r="AP308" s="232">
        <f t="shared" si="12"/>
        <v>237250</v>
      </c>
      <c r="AQ308" s="230">
        <f t="shared" si="11"/>
        <v>4</v>
      </c>
    </row>
    <row r="309" spans="1:43" s="246" customFormat="1" ht="14.4">
      <c r="A309" s="242">
        <v>1</v>
      </c>
      <c r="B309" s="243" t="s">
        <v>273</v>
      </c>
      <c r="C309" s="244" t="s">
        <v>280</v>
      </c>
      <c r="D309" s="245">
        <v>45777</v>
      </c>
      <c r="E309" s="245">
        <v>45777</v>
      </c>
      <c r="F309" s="244" t="s">
        <v>281</v>
      </c>
      <c r="G309" s="242" t="s">
        <v>275</v>
      </c>
      <c r="H309" s="244"/>
      <c r="I309" s="246">
        <v>99</v>
      </c>
      <c r="J309" s="242" t="s">
        <v>276</v>
      </c>
      <c r="K309" s="244">
        <v>1533010002</v>
      </c>
      <c r="L309" s="244"/>
      <c r="M309" s="244"/>
      <c r="N309" s="244"/>
      <c r="O309" s="244"/>
      <c r="P309" s="244"/>
      <c r="Q309" s="244"/>
      <c r="R309" s="244"/>
      <c r="S309" s="244"/>
      <c r="T309" s="247">
        <v>-20769822</v>
      </c>
      <c r="U309" s="243" t="s">
        <v>277</v>
      </c>
      <c r="V309" s="244"/>
      <c r="W309" s="244"/>
      <c r="X309" s="244"/>
      <c r="Y309" s="244"/>
      <c r="Z309" s="244"/>
      <c r="AA309" s="244"/>
      <c r="AB309" s="243"/>
      <c r="AC309" s="243" t="s">
        <v>278</v>
      </c>
      <c r="AD309" s="244"/>
      <c r="AE309" s="244"/>
      <c r="AF309" s="248">
        <v>20250430</v>
      </c>
      <c r="AG309" s="244"/>
      <c r="AH309" s="244"/>
      <c r="AI309" s="249">
        <v>20250430</v>
      </c>
      <c r="AJ309" s="250"/>
      <c r="AK309" s="244">
        <v>8001309074</v>
      </c>
      <c r="AL309" s="250"/>
      <c r="AM309" s="244" t="s">
        <v>305</v>
      </c>
      <c r="AN309" s="244"/>
      <c r="AO309" s="234">
        <v>0</v>
      </c>
      <c r="AP309" s="232">
        <f t="shared" si="12"/>
        <v>20769822</v>
      </c>
      <c r="AQ309" s="230">
        <f t="shared" si="11"/>
        <v>4</v>
      </c>
    </row>
    <row r="310" spans="1:43" s="246" customFormat="1" ht="14.4">
      <c r="A310" s="242">
        <v>1</v>
      </c>
      <c r="B310" s="243" t="s">
        <v>273</v>
      </c>
      <c r="C310" s="244" t="s">
        <v>280</v>
      </c>
      <c r="D310" s="245">
        <v>45777</v>
      </c>
      <c r="E310" s="245">
        <v>45777</v>
      </c>
      <c r="F310" s="244" t="s">
        <v>281</v>
      </c>
      <c r="G310" s="242" t="s">
        <v>275</v>
      </c>
      <c r="H310" s="244"/>
      <c r="I310" s="246">
        <v>100</v>
      </c>
      <c r="J310" s="242" t="s">
        <v>276</v>
      </c>
      <c r="K310" s="244">
        <v>1533010002</v>
      </c>
      <c r="L310" s="244"/>
      <c r="M310" s="244"/>
      <c r="N310" s="244"/>
      <c r="O310" s="244"/>
      <c r="P310" s="244"/>
      <c r="Q310" s="244"/>
      <c r="R310" s="244"/>
      <c r="S310" s="244"/>
      <c r="T310" s="247">
        <v>-3209522</v>
      </c>
      <c r="U310" s="243" t="s">
        <v>277</v>
      </c>
      <c r="V310" s="244"/>
      <c r="W310" s="244"/>
      <c r="X310" s="244"/>
      <c r="Y310" s="244"/>
      <c r="Z310" s="244"/>
      <c r="AA310" s="244"/>
      <c r="AB310" s="243"/>
      <c r="AC310" s="243" t="s">
        <v>278</v>
      </c>
      <c r="AD310" s="244"/>
      <c r="AE310" s="244"/>
      <c r="AF310" s="248">
        <v>20250430</v>
      </c>
      <c r="AG310" s="244"/>
      <c r="AH310" s="244"/>
      <c r="AI310" s="249">
        <v>20250430</v>
      </c>
      <c r="AJ310" s="250"/>
      <c r="AK310" s="244">
        <v>8002514406</v>
      </c>
      <c r="AL310" s="250"/>
      <c r="AM310" s="244" t="s">
        <v>283</v>
      </c>
      <c r="AN310" s="244"/>
      <c r="AO310" s="234">
        <v>0</v>
      </c>
      <c r="AP310" s="232">
        <f t="shared" si="12"/>
        <v>3209522</v>
      </c>
      <c r="AQ310" s="230">
        <f t="shared" si="11"/>
        <v>4</v>
      </c>
    </row>
    <row r="311" spans="1:43" s="246" customFormat="1" ht="14.4">
      <c r="A311" s="242">
        <v>1</v>
      </c>
      <c r="B311" s="243" t="s">
        <v>273</v>
      </c>
      <c r="C311" s="244" t="s">
        <v>280</v>
      </c>
      <c r="D311" s="245">
        <v>45777</v>
      </c>
      <c r="E311" s="245">
        <v>45777</v>
      </c>
      <c r="F311" s="244" t="s">
        <v>281</v>
      </c>
      <c r="G311" s="242" t="s">
        <v>275</v>
      </c>
      <c r="H311" s="244"/>
      <c r="I311" s="246">
        <v>101</v>
      </c>
      <c r="J311" s="242" t="s">
        <v>276</v>
      </c>
      <c r="K311" s="244">
        <v>1533010002</v>
      </c>
      <c r="L311" s="244"/>
      <c r="M311" s="244"/>
      <c r="N311" s="244"/>
      <c r="O311" s="244"/>
      <c r="P311" s="244"/>
      <c r="Q311" s="244"/>
      <c r="R311" s="244"/>
      <c r="S311" s="244"/>
      <c r="T311" s="247">
        <v>-1931963</v>
      </c>
      <c r="U311" s="243" t="s">
        <v>277</v>
      </c>
      <c r="V311" s="244"/>
      <c r="W311" s="244"/>
      <c r="X311" s="244"/>
      <c r="Y311" s="244"/>
      <c r="Z311" s="244"/>
      <c r="AA311" s="244"/>
      <c r="AB311" s="243"/>
      <c r="AC311" s="243" t="s">
        <v>278</v>
      </c>
      <c r="AD311" s="244"/>
      <c r="AE311" s="244"/>
      <c r="AF311" s="248">
        <v>20250430</v>
      </c>
      <c r="AG311" s="244"/>
      <c r="AH311" s="244"/>
      <c r="AI311" s="249">
        <v>20250430</v>
      </c>
      <c r="AJ311" s="250"/>
      <c r="AK311" s="244">
        <v>8300035647</v>
      </c>
      <c r="AL311" s="250"/>
      <c r="AM311" s="244" t="s">
        <v>286</v>
      </c>
      <c r="AN311" s="244"/>
      <c r="AO311" s="234">
        <v>0</v>
      </c>
      <c r="AP311" s="232">
        <f t="shared" si="12"/>
        <v>1931963</v>
      </c>
      <c r="AQ311" s="230">
        <f t="shared" si="11"/>
        <v>4</v>
      </c>
    </row>
    <row r="312" spans="1:43" s="246" customFormat="1" ht="14.4">
      <c r="A312" s="242">
        <v>1</v>
      </c>
      <c r="B312" s="243" t="s">
        <v>273</v>
      </c>
      <c r="C312" s="244" t="s">
        <v>280</v>
      </c>
      <c r="D312" s="245">
        <v>45777</v>
      </c>
      <c r="E312" s="245">
        <v>45777</v>
      </c>
      <c r="F312" s="244" t="s">
        <v>281</v>
      </c>
      <c r="G312" s="242" t="s">
        <v>275</v>
      </c>
      <c r="H312" s="244"/>
      <c r="I312" s="246">
        <v>102</v>
      </c>
      <c r="J312" s="242" t="s">
        <v>276</v>
      </c>
      <c r="K312" s="244">
        <v>1533010002</v>
      </c>
      <c r="L312" s="244"/>
      <c r="M312" s="244"/>
      <c r="N312" s="244"/>
      <c r="O312" s="244"/>
      <c r="P312" s="244"/>
      <c r="Q312" s="244"/>
      <c r="R312" s="244"/>
      <c r="S312" s="244"/>
      <c r="T312" s="247">
        <v>-664300</v>
      </c>
      <c r="U312" s="243" t="s">
        <v>277</v>
      </c>
      <c r="V312" s="244"/>
      <c r="W312" s="244"/>
      <c r="X312" s="244"/>
      <c r="Y312" s="244"/>
      <c r="Z312" s="244"/>
      <c r="AA312" s="244"/>
      <c r="AB312" s="243"/>
      <c r="AC312" s="243" t="s">
        <v>278</v>
      </c>
      <c r="AD312" s="244"/>
      <c r="AE312" s="244"/>
      <c r="AF312" s="248">
        <v>20250430</v>
      </c>
      <c r="AG312" s="244"/>
      <c r="AH312" s="244"/>
      <c r="AI312" s="249">
        <v>20250430</v>
      </c>
      <c r="AJ312" s="250"/>
      <c r="AK312" s="244">
        <v>9009142541</v>
      </c>
      <c r="AL312" s="250"/>
      <c r="AM312" s="244" t="s">
        <v>296</v>
      </c>
      <c r="AN312" s="244"/>
      <c r="AO312" s="234">
        <v>0</v>
      </c>
      <c r="AP312" s="232">
        <f t="shared" si="12"/>
        <v>664300</v>
      </c>
      <c r="AQ312" s="230">
        <f t="shared" si="11"/>
        <v>4</v>
      </c>
    </row>
    <row r="313" spans="1:43" s="246" customFormat="1" ht="14.4">
      <c r="A313" s="242">
        <v>1</v>
      </c>
      <c r="B313" s="243" t="s">
        <v>273</v>
      </c>
      <c r="C313" s="244" t="s">
        <v>280</v>
      </c>
      <c r="D313" s="245">
        <v>45777</v>
      </c>
      <c r="E313" s="245">
        <v>45777</v>
      </c>
      <c r="F313" s="244" t="s">
        <v>281</v>
      </c>
      <c r="G313" s="242" t="s">
        <v>275</v>
      </c>
      <c r="H313" s="244"/>
      <c r="I313" s="246">
        <v>103</v>
      </c>
      <c r="J313" s="242" t="s">
        <v>276</v>
      </c>
      <c r="K313" s="244">
        <v>1533010002</v>
      </c>
      <c r="L313" s="244"/>
      <c r="M313" s="244"/>
      <c r="N313" s="244"/>
      <c r="O313" s="244"/>
      <c r="P313" s="244"/>
      <c r="Q313" s="244"/>
      <c r="R313" s="244"/>
      <c r="S313" s="244"/>
      <c r="T313" s="247">
        <v>-47450</v>
      </c>
      <c r="U313" s="243" t="s">
        <v>277</v>
      </c>
      <c r="V313" s="244"/>
      <c r="W313" s="244"/>
      <c r="X313" s="244"/>
      <c r="Y313" s="244"/>
      <c r="Z313" s="244"/>
      <c r="AA313" s="244"/>
      <c r="AB313" s="243"/>
      <c r="AC313" s="243" t="s">
        <v>278</v>
      </c>
      <c r="AD313" s="244"/>
      <c r="AE313" s="244"/>
      <c r="AF313" s="248">
        <v>20250430</v>
      </c>
      <c r="AG313" s="244"/>
      <c r="AH313" s="244"/>
      <c r="AI313" s="249">
        <v>20250430</v>
      </c>
      <c r="AJ313" s="250"/>
      <c r="AK313" s="244">
        <v>8301138310</v>
      </c>
      <c r="AL313" s="250"/>
      <c r="AM313" s="244" t="s">
        <v>287</v>
      </c>
      <c r="AN313" s="244"/>
      <c r="AO313" s="234">
        <v>0</v>
      </c>
      <c r="AP313" s="232">
        <f t="shared" si="12"/>
        <v>47450</v>
      </c>
      <c r="AQ313" s="230">
        <f t="shared" si="11"/>
        <v>4</v>
      </c>
    </row>
    <row r="314" spans="1:43" s="246" customFormat="1" ht="14.4">
      <c r="A314" s="242">
        <v>1</v>
      </c>
      <c r="B314" s="243" t="s">
        <v>273</v>
      </c>
      <c r="C314" s="244" t="s">
        <v>280</v>
      </c>
      <c r="D314" s="245">
        <v>45777</v>
      </c>
      <c r="E314" s="245">
        <v>45777</v>
      </c>
      <c r="F314" s="244" t="s">
        <v>281</v>
      </c>
      <c r="G314" s="242" t="s">
        <v>275</v>
      </c>
      <c r="H314" s="244"/>
      <c r="I314" s="246">
        <v>104</v>
      </c>
      <c r="J314" s="242" t="s">
        <v>276</v>
      </c>
      <c r="K314" s="244">
        <v>1533010002</v>
      </c>
      <c r="L314" s="244"/>
      <c r="M314" s="244"/>
      <c r="N314" s="244"/>
      <c r="O314" s="244"/>
      <c r="P314" s="244"/>
      <c r="Q314" s="244"/>
      <c r="R314" s="244"/>
      <c r="S314" s="244"/>
      <c r="T314" s="247">
        <v>-3093320</v>
      </c>
      <c r="U314" s="243" t="s">
        <v>277</v>
      </c>
      <c r="V314" s="244"/>
      <c r="W314" s="244"/>
      <c r="X314" s="244"/>
      <c r="Y314" s="244"/>
      <c r="Z314" s="244"/>
      <c r="AA314" s="244"/>
      <c r="AB314" s="243"/>
      <c r="AC314" s="243" t="s">
        <v>278</v>
      </c>
      <c r="AD314" s="244"/>
      <c r="AE314" s="244"/>
      <c r="AF314" s="248">
        <v>20250430</v>
      </c>
      <c r="AG314" s="244"/>
      <c r="AH314" s="244"/>
      <c r="AI314" s="249">
        <v>20250430</v>
      </c>
      <c r="AJ314" s="250"/>
      <c r="AK314" s="244">
        <v>8002514406</v>
      </c>
      <c r="AL314" s="250"/>
      <c r="AM314" s="244" t="s">
        <v>283</v>
      </c>
      <c r="AN314" s="244"/>
      <c r="AO314" s="234">
        <v>0</v>
      </c>
      <c r="AP314" s="232">
        <f t="shared" si="12"/>
        <v>3093320</v>
      </c>
      <c r="AQ314" s="230">
        <f t="shared" si="11"/>
        <v>4</v>
      </c>
    </row>
    <row r="315" spans="1:43" s="246" customFormat="1" ht="14.4">
      <c r="A315" s="242">
        <v>1</v>
      </c>
      <c r="B315" s="243" t="s">
        <v>273</v>
      </c>
      <c r="C315" s="244" t="s">
        <v>280</v>
      </c>
      <c r="D315" s="245">
        <v>45777</v>
      </c>
      <c r="E315" s="245">
        <v>45777</v>
      </c>
      <c r="F315" s="244" t="s">
        <v>281</v>
      </c>
      <c r="G315" s="242" t="s">
        <v>275</v>
      </c>
      <c r="H315" s="244"/>
      <c r="I315" s="246">
        <v>105</v>
      </c>
      <c r="J315" s="242" t="s">
        <v>276</v>
      </c>
      <c r="K315" s="244">
        <v>1533010002</v>
      </c>
      <c r="L315" s="244"/>
      <c r="M315" s="244"/>
      <c r="N315" s="244"/>
      <c r="O315" s="244"/>
      <c r="P315" s="244"/>
      <c r="Q315" s="244"/>
      <c r="R315" s="244"/>
      <c r="S315" s="244"/>
      <c r="T315" s="247">
        <v>-142350</v>
      </c>
      <c r="U315" s="243" t="s">
        <v>277</v>
      </c>
      <c r="V315" s="244"/>
      <c r="W315" s="244"/>
      <c r="X315" s="244"/>
      <c r="Y315" s="244"/>
      <c r="Z315" s="244"/>
      <c r="AA315" s="244"/>
      <c r="AB315" s="243"/>
      <c r="AC315" s="243" t="s">
        <v>278</v>
      </c>
      <c r="AD315" s="244"/>
      <c r="AE315" s="244"/>
      <c r="AF315" s="248">
        <v>20250430</v>
      </c>
      <c r="AG315" s="244"/>
      <c r="AH315" s="244"/>
      <c r="AI315" s="249">
        <v>20250430</v>
      </c>
      <c r="AJ315" s="250"/>
      <c r="AK315" s="244">
        <v>8600669427</v>
      </c>
      <c r="AL315" s="250"/>
      <c r="AM315" s="244" t="s">
        <v>289</v>
      </c>
      <c r="AN315" s="244"/>
      <c r="AO315" s="234">
        <v>0</v>
      </c>
      <c r="AP315" s="232">
        <f t="shared" si="12"/>
        <v>142350</v>
      </c>
      <c r="AQ315" s="230">
        <f t="shared" si="11"/>
        <v>4</v>
      </c>
    </row>
    <row r="316" spans="1:43" s="246" customFormat="1" ht="14.4">
      <c r="A316" s="242">
        <v>1</v>
      </c>
      <c r="B316" s="243" t="s">
        <v>273</v>
      </c>
      <c r="C316" s="244" t="s">
        <v>280</v>
      </c>
      <c r="D316" s="245">
        <v>45777</v>
      </c>
      <c r="E316" s="245">
        <v>45777</v>
      </c>
      <c r="F316" s="244" t="s">
        <v>281</v>
      </c>
      <c r="G316" s="242" t="s">
        <v>275</v>
      </c>
      <c r="H316" s="244"/>
      <c r="I316" s="246">
        <v>106</v>
      </c>
      <c r="J316" s="242" t="s">
        <v>276</v>
      </c>
      <c r="K316" s="244">
        <v>1533010002</v>
      </c>
      <c r="L316" s="244"/>
      <c r="M316" s="244"/>
      <c r="N316" s="244"/>
      <c r="O316" s="244"/>
      <c r="P316" s="244"/>
      <c r="Q316" s="244"/>
      <c r="R316" s="244"/>
      <c r="S316" s="244"/>
      <c r="T316" s="247">
        <v>-759200</v>
      </c>
      <c r="U316" s="243" t="s">
        <v>277</v>
      </c>
      <c r="V316" s="244"/>
      <c r="W316" s="244"/>
      <c r="X316" s="244"/>
      <c r="Y316" s="244"/>
      <c r="Z316" s="244"/>
      <c r="AA316" s="244"/>
      <c r="AB316" s="243"/>
      <c r="AC316" s="243" t="s">
        <v>278</v>
      </c>
      <c r="AD316" s="244"/>
      <c r="AE316" s="244"/>
      <c r="AF316" s="248">
        <v>20250430</v>
      </c>
      <c r="AG316" s="244"/>
      <c r="AH316" s="244"/>
      <c r="AI316" s="249">
        <v>20250430</v>
      </c>
      <c r="AJ316" s="250"/>
      <c r="AK316" s="244">
        <v>9001562642</v>
      </c>
      <c r="AL316" s="250"/>
      <c r="AM316" s="244" t="s">
        <v>316</v>
      </c>
      <c r="AN316" s="244"/>
      <c r="AO316" s="234">
        <v>0</v>
      </c>
      <c r="AP316" s="232">
        <f t="shared" si="12"/>
        <v>759200</v>
      </c>
      <c r="AQ316" s="230">
        <f t="shared" si="11"/>
        <v>4</v>
      </c>
    </row>
    <row r="317" spans="1:43" s="246" customFormat="1" ht="14.4">
      <c r="A317" s="242">
        <v>1</v>
      </c>
      <c r="B317" s="243" t="s">
        <v>273</v>
      </c>
      <c r="C317" s="244" t="s">
        <v>280</v>
      </c>
      <c r="D317" s="245">
        <v>45777</v>
      </c>
      <c r="E317" s="245">
        <v>45777</v>
      </c>
      <c r="F317" s="244" t="s">
        <v>281</v>
      </c>
      <c r="G317" s="242" t="s">
        <v>275</v>
      </c>
      <c r="H317" s="244"/>
      <c r="I317" s="246">
        <v>107</v>
      </c>
      <c r="J317" s="242" t="s">
        <v>276</v>
      </c>
      <c r="K317" s="244">
        <v>1533010002</v>
      </c>
      <c r="L317" s="244"/>
      <c r="M317" s="244"/>
      <c r="N317" s="244"/>
      <c r="O317" s="244"/>
      <c r="P317" s="244"/>
      <c r="Q317" s="244"/>
      <c r="R317" s="244"/>
      <c r="S317" s="244"/>
      <c r="T317" s="247">
        <v>-3396036</v>
      </c>
      <c r="U317" s="243" t="s">
        <v>277</v>
      </c>
      <c r="V317" s="244"/>
      <c r="W317" s="244"/>
      <c r="X317" s="244"/>
      <c r="Y317" s="244"/>
      <c r="Z317" s="244"/>
      <c r="AA317" s="244"/>
      <c r="AB317" s="243"/>
      <c r="AC317" s="243" t="s">
        <v>278</v>
      </c>
      <c r="AD317" s="244"/>
      <c r="AE317" s="244"/>
      <c r="AF317" s="248">
        <v>20250430</v>
      </c>
      <c r="AG317" s="244"/>
      <c r="AH317" s="244"/>
      <c r="AI317" s="249">
        <v>20250430</v>
      </c>
      <c r="AJ317" s="250"/>
      <c r="AK317" s="244">
        <v>8001309074</v>
      </c>
      <c r="AL317" s="250"/>
      <c r="AM317" s="244" t="s">
        <v>305</v>
      </c>
      <c r="AN317" s="244"/>
      <c r="AO317" s="234">
        <v>0</v>
      </c>
      <c r="AP317" s="232">
        <f t="shared" si="12"/>
        <v>3396036</v>
      </c>
      <c r="AQ317" s="230">
        <f t="shared" si="11"/>
        <v>4</v>
      </c>
    </row>
    <row r="318" spans="1:43" s="246" customFormat="1" ht="14.4">
      <c r="A318" s="242">
        <v>1</v>
      </c>
      <c r="B318" s="243" t="s">
        <v>273</v>
      </c>
      <c r="C318" s="244" t="s">
        <v>280</v>
      </c>
      <c r="D318" s="245">
        <v>45777</v>
      </c>
      <c r="E318" s="245">
        <v>45777</v>
      </c>
      <c r="F318" s="244" t="s">
        <v>281</v>
      </c>
      <c r="G318" s="242" t="s">
        <v>275</v>
      </c>
      <c r="H318" s="244"/>
      <c r="I318" s="246">
        <v>108</v>
      </c>
      <c r="J318" s="242" t="s">
        <v>276</v>
      </c>
      <c r="K318" s="244">
        <v>1533010002</v>
      </c>
      <c r="L318" s="244"/>
      <c r="M318" s="244"/>
      <c r="N318" s="244"/>
      <c r="O318" s="244"/>
      <c r="P318" s="244"/>
      <c r="Q318" s="244"/>
      <c r="R318" s="244"/>
      <c r="S318" s="244"/>
      <c r="T318" s="247">
        <v>-202839</v>
      </c>
      <c r="U318" s="243" t="s">
        <v>277</v>
      </c>
      <c r="V318" s="244"/>
      <c r="W318" s="244"/>
      <c r="X318" s="244"/>
      <c r="Y318" s="244"/>
      <c r="Z318" s="244"/>
      <c r="AA318" s="244"/>
      <c r="AB318" s="243"/>
      <c r="AC318" s="243" t="s">
        <v>278</v>
      </c>
      <c r="AD318" s="244"/>
      <c r="AE318" s="244"/>
      <c r="AF318" s="248">
        <v>20250430</v>
      </c>
      <c r="AG318" s="244"/>
      <c r="AH318" s="244"/>
      <c r="AI318" s="249">
        <v>20250430</v>
      </c>
      <c r="AJ318" s="250"/>
      <c r="AK318" s="244">
        <v>8600669427</v>
      </c>
      <c r="AL318" s="250"/>
      <c r="AM318" s="244" t="s">
        <v>289</v>
      </c>
      <c r="AN318" s="244"/>
      <c r="AO318" s="234">
        <v>0</v>
      </c>
      <c r="AP318" s="232">
        <f t="shared" si="12"/>
        <v>202839</v>
      </c>
      <c r="AQ318" s="230">
        <f t="shared" si="11"/>
        <v>4</v>
      </c>
    </row>
    <row r="319" spans="1:43" s="246" customFormat="1" ht="14.4">
      <c r="A319" s="242">
        <v>1</v>
      </c>
      <c r="B319" s="243" t="s">
        <v>273</v>
      </c>
      <c r="C319" s="244" t="s">
        <v>280</v>
      </c>
      <c r="D319" s="245">
        <v>45777</v>
      </c>
      <c r="E319" s="245">
        <v>45777</v>
      </c>
      <c r="F319" s="244" t="s">
        <v>281</v>
      </c>
      <c r="G319" s="242" t="s">
        <v>275</v>
      </c>
      <c r="H319" s="244"/>
      <c r="I319" s="246">
        <v>109</v>
      </c>
      <c r="J319" s="242" t="s">
        <v>276</v>
      </c>
      <c r="K319" s="244">
        <v>1533010002</v>
      </c>
      <c r="L319" s="244"/>
      <c r="M319" s="244"/>
      <c r="N319" s="244"/>
      <c r="O319" s="244"/>
      <c r="P319" s="244"/>
      <c r="Q319" s="244"/>
      <c r="R319" s="244"/>
      <c r="S319" s="244"/>
      <c r="T319" s="247">
        <v>-482720</v>
      </c>
      <c r="U319" s="243" t="s">
        <v>277</v>
      </c>
      <c r="V319" s="244"/>
      <c r="W319" s="244"/>
      <c r="X319" s="244"/>
      <c r="Y319" s="244"/>
      <c r="Z319" s="244"/>
      <c r="AA319" s="244"/>
      <c r="AB319" s="243"/>
      <c r="AC319" s="243" t="s">
        <v>278</v>
      </c>
      <c r="AD319" s="244"/>
      <c r="AE319" s="244"/>
      <c r="AF319" s="248">
        <v>20250430</v>
      </c>
      <c r="AG319" s="244"/>
      <c r="AH319" s="244"/>
      <c r="AI319" s="249">
        <v>20250430</v>
      </c>
      <c r="AJ319" s="250"/>
      <c r="AK319" s="244">
        <v>8300035647</v>
      </c>
      <c r="AL319" s="250"/>
      <c r="AM319" s="244" t="s">
        <v>286</v>
      </c>
      <c r="AN319" s="244"/>
      <c r="AO319" s="234">
        <v>0</v>
      </c>
      <c r="AP319" s="232">
        <f t="shared" si="12"/>
        <v>482720</v>
      </c>
      <c r="AQ319" s="230">
        <f t="shared" si="11"/>
        <v>4</v>
      </c>
    </row>
    <row r="320" spans="1:43" s="246" customFormat="1" ht="14.4">
      <c r="A320" s="242">
        <v>1</v>
      </c>
      <c r="B320" s="243" t="s">
        <v>273</v>
      </c>
      <c r="C320" s="244" t="s">
        <v>280</v>
      </c>
      <c r="D320" s="245">
        <v>45777</v>
      </c>
      <c r="E320" s="245">
        <v>45777</v>
      </c>
      <c r="F320" s="244" t="s">
        <v>281</v>
      </c>
      <c r="G320" s="242" t="s">
        <v>275</v>
      </c>
      <c r="H320" s="244"/>
      <c r="I320" s="246">
        <v>110</v>
      </c>
      <c r="J320" s="242" t="s">
        <v>276</v>
      </c>
      <c r="K320" s="244">
        <v>1533010002</v>
      </c>
      <c r="L320" s="244"/>
      <c r="M320" s="244"/>
      <c r="N320" s="244"/>
      <c r="O320" s="244"/>
      <c r="P320" s="244"/>
      <c r="Q320" s="244"/>
      <c r="R320" s="244"/>
      <c r="S320" s="244"/>
      <c r="T320" s="247">
        <v>-1945450</v>
      </c>
      <c r="U320" s="243" t="s">
        <v>277</v>
      </c>
      <c r="V320" s="244"/>
      <c r="W320" s="244"/>
      <c r="X320" s="244"/>
      <c r="Y320" s="244"/>
      <c r="Z320" s="244"/>
      <c r="AA320" s="244"/>
      <c r="AB320" s="243"/>
      <c r="AC320" s="243" t="s">
        <v>278</v>
      </c>
      <c r="AD320" s="244"/>
      <c r="AE320" s="244"/>
      <c r="AF320" s="248">
        <v>20250430</v>
      </c>
      <c r="AG320" s="244"/>
      <c r="AH320" s="244"/>
      <c r="AI320" s="249">
        <v>20250430</v>
      </c>
      <c r="AJ320" s="250"/>
      <c r="AK320" s="244">
        <v>8050011572</v>
      </c>
      <c r="AL320" s="250"/>
      <c r="AM320" s="244" t="s">
        <v>284</v>
      </c>
      <c r="AN320" s="244"/>
      <c r="AO320" s="234">
        <v>0</v>
      </c>
      <c r="AP320" s="232">
        <f t="shared" si="12"/>
        <v>1945450</v>
      </c>
      <c r="AQ320" s="230">
        <f t="shared" si="11"/>
        <v>4</v>
      </c>
    </row>
    <row r="321" spans="1:43" s="246" customFormat="1" ht="14.4">
      <c r="A321" s="242">
        <v>1</v>
      </c>
      <c r="B321" s="243" t="s">
        <v>273</v>
      </c>
      <c r="C321" s="244" t="s">
        <v>280</v>
      </c>
      <c r="D321" s="245">
        <v>45777</v>
      </c>
      <c r="E321" s="245">
        <v>45777</v>
      </c>
      <c r="F321" s="244" t="s">
        <v>281</v>
      </c>
      <c r="G321" s="242" t="s">
        <v>275</v>
      </c>
      <c r="H321" s="244"/>
      <c r="I321" s="246">
        <v>111</v>
      </c>
      <c r="J321" s="242" t="s">
        <v>276</v>
      </c>
      <c r="K321" s="244">
        <v>1533010002</v>
      </c>
      <c r="L321" s="244"/>
      <c r="M321" s="244"/>
      <c r="N321" s="244"/>
      <c r="O321" s="244"/>
      <c r="P321" s="244"/>
      <c r="Q321" s="244"/>
      <c r="R321" s="244"/>
      <c r="S321" s="244"/>
      <c r="T321" s="247">
        <v>-521950</v>
      </c>
      <c r="U321" s="243" t="s">
        <v>277</v>
      </c>
      <c r="V321" s="244"/>
      <c r="W321" s="244"/>
      <c r="X321" s="244"/>
      <c r="Y321" s="244"/>
      <c r="Z321" s="244"/>
      <c r="AA321" s="244"/>
      <c r="AB321" s="243"/>
      <c r="AC321" s="243" t="s">
        <v>278</v>
      </c>
      <c r="AD321" s="244"/>
      <c r="AE321" s="244"/>
      <c r="AF321" s="248">
        <v>20250430</v>
      </c>
      <c r="AG321" s="244"/>
      <c r="AH321" s="244"/>
      <c r="AI321" s="249">
        <v>20250430</v>
      </c>
      <c r="AJ321" s="250"/>
      <c r="AK321" s="244">
        <v>8002514406</v>
      </c>
      <c r="AL321" s="250"/>
      <c r="AM321" s="244" t="s">
        <v>283</v>
      </c>
      <c r="AN321" s="244"/>
      <c r="AO321" s="234">
        <v>0</v>
      </c>
      <c r="AP321" s="232">
        <f t="shared" si="12"/>
        <v>521950</v>
      </c>
      <c r="AQ321" s="230">
        <f t="shared" si="11"/>
        <v>4</v>
      </c>
    </row>
    <row r="322" spans="1:43" s="246" customFormat="1" ht="14.4">
      <c r="A322" s="242">
        <v>1</v>
      </c>
      <c r="B322" s="243" t="s">
        <v>273</v>
      </c>
      <c r="C322" s="244" t="s">
        <v>280</v>
      </c>
      <c r="D322" s="245">
        <v>45777</v>
      </c>
      <c r="E322" s="245">
        <v>45777</v>
      </c>
      <c r="F322" s="244" t="s">
        <v>281</v>
      </c>
      <c r="G322" s="242" t="s">
        <v>275</v>
      </c>
      <c r="H322" s="244"/>
      <c r="I322" s="246">
        <v>112</v>
      </c>
      <c r="J322" s="242" t="s">
        <v>276</v>
      </c>
      <c r="K322" s="244">
        <v>1533010002</v>
      </c>
      <c r="L322" s="244"/>
      <c r="M322" s="244"/>
      <c r="N322" s="244"/>
      <c r="O322" s="244"/>
      <c r="P322" s="244"/>
      <c r="Q322" s="244"/>
      <c r="R322" s="244"/>
      <c r="S322" s="244"/>
      <c r="T322" s="247">
        <v>-1423500</v>
      </c>
      <c r="U322" s="243" t="s">
        <v>277</v>
      </c>
      <c r="V322" s="244"/>
      <c r="W322" s="244"/>
      <c r="X322" s="244"/>
      <c r="Y322" s="244"/>
      <c r="Z322" s="244"/>
      <c r="AA322" s="244"/>
      <c r="AB322" s="243"/>
      <c r="AC322" s="243" t="s">
        <v>278</v>
      </c>
      <c r="AD322" s="244"/>
      <c r="AE322" s="244"/>
      <c r="AF322" s="248">
        <v>20250430</v>
      </c>
      <c r="AG322" s="244"/>
      <c r="AH322" s="244"/>
      <c r="AI322" s="249">
        <v>20250430</v>
      </c>
      <c r="AJ322" s="250"/>
      <c r="AK322" s="244">
        <v>8002514406</v>
      </c>
      <c r="AL322" s="250"/>
      <c r="AM322" s="244" t="s">
        <v>283</v>
      </c>
      <c r="AN322" s="244"/>
      <c r="AO322" s="234">
        <v>0</v>
      </c>
      <c r="AP322" s="232">
        <f t="shared" si="12"/>
        <v>1423500</v>
      </c>
      <c r="AQ322" s="230">
        <f t="shared" si="11"/>
        <v>4</v>
      </c>
    </row>
    <row r="323" spans="1:43" s="246" customFormat="1" ht="14.4">
      <c r="A323" s="242">
        <v>1</v>
      </c>
      <c r="B323" s="243" t="s">
        <v>273</v>
      </c>
      <c r="C323" s="244" t="s">
        <v>280</v>
      </c>
      <c r="D323" s="245">
        <v>45777</v>
      </c>
      <c r="E323" s="245">
        <v>45777</v>
      </c>
      <c r="F323" s="244" t="s">
        <v>281</v>
      </c>
      <c r="G323" s="242" t="s">
        <v>275</v>
      </c>
      <c r="H323" s="244"/>
      <c r="I323" s="246">
        <v>113</v>
      </c>
      <c r="J323" s="242" t="s">
        <v>276</v>
      </c>
      <c r="K323" s="244">
        <v>1533010002</v>
      </c>
      <c r="L323" s="244"/>
      <c r="M323" s="244"/>
      <c r="N323" s="244"/>
      <c r="O323" s="244"/>
      <c r="P323" s="244"/>
      <c r="Q323" s="244"/>
      <c r="R323" s="244"/>
      <c r="S323" s="244"/>
      <c r="T323" s="247">
        <v>-854802</v>
      </c>
      <c r="U323" s="243" t="s">
        <v>277</v>
      </c>
      <c r="V323" s="244"/>
      <c r="W323" s="244"/>
      <c r="X323" s="244"/>
      <c r="Y323" s="244"/>
      <c r="Z323" s="244"/>
      <c r="AA323" s="244"/>
      <c r="AB323" s="243"/>
      <c r="AC323" s="243" t="s">
        <v>278</v>
      </c>
      <c r="AD323" s="244"/>
      <c r="AE323" s="244"/>
      <c r="AF323" s="248">
        <v>20250430</v>
      </c>
      <c r="AG323" s="244"/>
      <c r="AH323" s="244"/>
      <c r="AI323" s="249">
        <v>20250430</v>
      </c>
      <c r="AJ323" s="250"/>
      <c r="AK323" s="244">
        <v>8600021839</v>
      </c>
      <c r="AL323" s="250"/>
      <c r="AM323" s="244" t="s">
        <v>288</v>
      </c>
      <c r="AN323" s="244"/>
      <c r="AO323" s="234">
        <v>0</v>
      </c>
      <c r="AP323" s="232">
        <f t="shared" si="12"/>
        <v>854802</v>
      </c>
      <c r="AQ323" s="230">
        <f t="shared" ref="AQ323:AQ386" si="13">+MONTH(D323)</f>
        <v>4</v>
      </c>
    </row>
    <row r="324" spans="1:43" s="246" customFormat="1" ht="14.4">
      <c r="A324" s="242">
        <v>1</v>
      </c>
      <c r="B324" s="243" t="s">
        <v>273</v>
      </c>
      <c r="C324" s="244" t="s">
        <v>280</v>
      </c>
      <c r="D324" s="245">
        <v>45777</v>
      </c>
      <c r="E324" s="245">
        <v>45777</v>
      </c>
      <c r="F324" s="244" t="s">
        <v>281</v>
      </c>
      <c r="G324" s="242" t="s">
        <v>275</v>
      </c>
      <c r="H324" s="244"/>
      <c r="I324" s="246">
        <v>114</v>
      </c>
      <c r="J324" s="242" t="s">
        <v>276</v>
      </c>
      <c r="K324" s="244">
        <v>1533010002</v>
      </c>
      <c r="L324" s="244"/>
      <c r="M324" s="244"/>
      <c r="N324" s="244"/>
      <c r="O324" s="244"/>
      <c r="P324" s="244"/>
      <c r="Q324" s="244"/>
      <c r="R324" s="244"/>
      <c r="S324" s="244"/>
      <c r="T324" s="247">
        <v>-5347000</v>
      </c>
      <c r="U324" s="243" t="s">
        <v>277</v>
      </c>
      <c r="V324" s="244"/>
      <c r="W324" s="244"/>
      <c r="X324" s="244"/>
      <c r="Y324" s="244"/>
      <c r="Z324" s="244"/>
      <c r="AA324" s="244"/>
      <c r="AB324" s="243"/>
      <c r="AC324" s="243" t="s">
        <v>278</v>
      </c>
      <c r="AD324" s="244"/>
      <c r="AE324" s="244"/>
      <c r="AF324" s="248">
        <v>20250430</v>
      </c>
      <c r="AG324" s="244"/>
      <c r="AH324" s="244"/>
      <c r="AI324" s="249">
        <v>20250430</v>
      </c>
      <c r="AJ324" s="250"/>
      <c r="AK324" s="244">
        <v>8600669427</v>
      </c>
      <c r="AL324" s="250"/>
      <c r="AM324" s="244" t="s">
        <v>289</v>
      </c>
      <c r="AN324" s="244"/>
      <c r="AO324" s="234">
        <v>0</v>
      </c>
      <c r="AP324" s="232">
        <f t="shared" si="12"/>
        <v>5347000</v>
      </c>
      <c r="AQ324" s="230">
        <f t="shared" si="13"/>
        <v>4</v>
      </c>
    </row>
    <row r="325" spans="1:43" s="246" customFormat="1" ht="14.4">
      <c r="A325" s="242">
        <v>1</v>
      </c>
      <c r="B325" s="243" t="s">
        <v>273</v>
      </c>
      <c r="C325" s="244" t="s">
        <v>280</v>
      </c>
      <c r="D325" s="245">
        <v>45777</v>
      </c>
      <c r="E325" s="245">
        <v>45777</v>
      </c>
      <c r="F325" s="244" t="s">
        <v>281</v>
      </c>
      <c r="G325" s="242" t="s">
        <v>275</v>
      </c>
      <c r="H325" s="244"/>
      <c r="I325" s="246">
        <v>115</v>
      </c>
      <c r="J325" s="242" t="s">
        <v>276</v>
      </c>
      <c r="K325" s="244">
        <v>1533010002</v>
      </c>
      <c r="L325" s="244"/>
      <c r="M325" s="244"/>
      <c r="N325" s="244"/>
      <c r="O325" s="244"/>
      <c r="P325" s="244"/>
      <c r="Q325" s="244"/>
      <c r="R325" s="244"/>
      <c r="S325" s="244"/>
      <c r="T325" s="247">
        <v>-355066</v>
      </c>
      <c r="U325" s="243" t="s">
        <v>277</v>
      </c>
      <c r="V325" s="244"/>
      <c r="W325" s="244"/>
      <c r="X325" s="244"/>
      <c r="Y325" s="244"/>
      <c r="Z325" s="244"/>
      <c r="AA325" s="244"/>
      <c r="AB325" s="243"/>
      <c r="AC325" s="243" t="s">
        <v>278</v>
      </c>
      <c r="AD325" s="244"/>
      <c r="AE325" s="244"/>
      <c r="AF325" s="248">
        <v>20250430</v>
      </c>
      <c r="AG325" s="244"/>
      <c r="AH325" s="244"/>
      <c r="AI325" s="249">
        <v>20250430</v>
      </c>
      <c r="AJ325" s="250"/>
      <c r="AK325" s="244">
        <v>8600669427</v>
      </c>
      <c r="AL325" s="250"/>
      <c r="AM325" s="244" t="s">
        <v>289</v>
      </c>
      <c r="AN325" s="244"/>
      <c r="AO325" s="234">
        <v>0</v>
      </c>
      <c r="AP325" s="232">
        <f t="shared" si="12"/>
        <v>355066</v>
      </c>
      <c r="AQ325" s="230">
        <f t="shared" si="13"/>
        <v>4</v>
      </c>
    </row>
    <row r="326" spans="1:43" s="246" customFormat="1" ht="14.4">
      <c r="A326" s="242">
        <v>1</v>
      </c>
      <c r="B326" s="243" t="s">
        <v>273</v>
      </c>
      <c r="C326" s="244" t="s">
        <v>280</v>
      </c>
      <c r="D326" s="245">
        <v>45777</v>
      </c>
      <c r="E326" s="245">
        <v>45777</v>
      </c>
      <c r="F326" s="244" t="s">
        <v>281</v>
      </c>
      <c r="G326" s="242" t="s">
        <v>275</v>
      </c>
      <c r="H326" s="244"/>
      <c r="I326" s="246">
        <v>116</v>
      </c>
      <c r="J326" s="242" t="s">
        <v>276</v>
      </c>
      <c r="K326" s="244">
        <v>1533010002</v>
      </c>
      <c r="L326" s="244"/>
      <c r="M326" s="244"/>
      <c r="N326" s="244"/>
      <c r="O326" s="244"/>
      <c r="P326" s="244"/>
      <c r="Q326" s="244"/>
      <c r="R326" s="244"/>
      <c r="S326" s="244"/>
      <c r="T326" s="247">
        <v>-932472</v>
      </c>
      <c r="U326" s="243" t="s">
        <v>277</v>
      </c>
      <c r="V326" s="244"/>
      <c r="W326" s="244"/>
      <c r="X326" s="244"/>
      <c r="Y326" s="244"/>
      <c r="Z326" s="244"/>
      <c r="AA326" s="244"/>
      <c r="AB326" s="243"/>
      <c r="AC326" s="243" t="s">
        <v>278</v>
      </c>
      <c r="AD326" s="244"/>
      <c r="AE326" s="244"/>
      <c r="AF326" s="248">
        <v>20250430</v>
      </c>
      <c r="AG326" s="244"/>
      <c r="AH326" s="244"/>
      <c r="AI326" s="249">
        <v>20250430</v>
      </c>
      <c r="AJ326" s="250"/>
      <c r="AK326" s="244">
        <v>8600021839</v>
      </c>
      <c r="AL326" s="250"/>
      <c r="AM326" s="244" t="s">
        <v>288</v>
      </c>
      <c r="AN326" s="244"/>
      <c r="AO326" s="234">
        <v>0</v>
      </c>
      <c r="AP326" s="232">
        <f t="shared" si="12"/>
        <v>932472</v>
      </c>
      <c r="AQ326" s="230">
        <f t="shared" si="13"/>
        <v>4</v>
      </c>
    </row>
    <row r="327" spans="1:43" s="246" customFormat="1" ht="14.4">
      <c r="A327" s="242">
        <v>1</v>
      </c>
      <c r="B327" s="243" t="s">
        <v>273</v>
      </c>
      <c r="C327" s="244" t="s">
        <v>280</v>
      </c>
      <c r="D327" s="245">
        <v>45777</v>
      </c>
      <c r="E327" s="245">
        <v>45777</v>
      </c>
      <c r="F327" s="244" t="s">
        <v>281</v>
      </c>
      <c r="G327" s="242" t="s">
        <v>275</v>
      </c>
      <c r="H327" s="244"/>
      <c r="I327" s="246">
        <v>117</v>
      </c>
      <c r="J327" s="242" t="s">
        <v>276</v>
      </c>
      <c r="K327" s="244">
        <v>1533010002</v>
      </c>
      <c r="L327" s="244"/>
      <c r="M327" s="244"/>
      <c r="N327" s="244"/>
      <c r="O327" s="244"/>
      <c r="P327" s="244"/>
      <c r="Q327" s="244"/>
      <c r="R327" s="244"/>
      <c r="S327" s="244"/>
      <c r="T327" s="247">
        <v>-8235791</v>
      </c>
      <c r="U327" s="243" t="s">
        <v>277</v>
      </c>
      <c r="V327" s="244"/>
      <c r="W327" s="244"/>
      <c r="X327" s="244"/>
      <c r="Y327" s="244"/>
      <c r="Z327" s="244"/>
      <c r="AA327" s="244"/>
      <c r="AB327" s="243"/>
      <c r="AC327" s="243" t="s">
        <v>278</v>
      </c>
      <c r="AD327" s="244"/>
      <c r="AE327" s="244"/>
      <c r="AF327" s="248">
        <v>20250430</v>
      </c>
      <c r="AG327" s="244"/>
      <c r="AH327" s="244"/>
      <c r="AI327" s="249">
        <v>20250430</v>
      </c>
      <c r="AJ327" s="250"/>
      <c r="AK327" s="244">
        <v>8000887022</v>
      </c>
      <c r="AL327" s="250"/>
      <c r="AM327" s="244" t="s">
        <v>292</v>
      </c>
      <c r="AN327" s="244"/>
      <c r="AO327" s="234">
        <v>0</v>
      </c>
      <c r="AP327" s="232">
        <f t="shared" si="12"/>
        <v>8235791</v>
      </c>
      <c r="AQ327" s="230">
        <f t="shared" si="13"/>
        <v>4</v>
      </c>
    </row>
    <row r="328" spans="1:43" s="246" customFormat="1" ht="14.4">
      <c r="A328" s="242">
        <v>1</v>
      </c>
      <c r="B328" s="243" t="s">
        <v>273</v>
      </c>
      <c r="C328" s="244" t="s">
        <v>280</v>
      </c>
      <c r="D328" s="245">
        <v>45777</v>
      </c>
      <c r="E328" s="245">
        <v>45777</v>
      </c>
      <c r="F328" s="244" t="s">
        <v>281</v>
      </c>
      <c r="G328" s="242" t="s">
        <v>275</v>
      </c>
      <c r="H328" s="244"/>
      <c r="I328" s="246">
        <v>118</v>
      </c>
      <c r="J328" s="242" t="s">
        <v>276</v>
      </c>
      <c r="K328" s="244">
        <v>1533010002</v>
      </c>
      <c r="L328" s="244"/>
      <c r="M328" s="244"/>
      <c r="N328" s="244"/>
      <c r="O328" s="244"/>
      <c r="P328" s="244"/>
      <c r="Q328" s="244"/>
      <c r="R328" s="244"/>
      <c r="S328" s="244"/>
      <c r="T328" s="247">
        <v>-142350</v>
      </c>
      <c r="U328" s="243" t="s">
        <v>277</v>
      </c>
      <c r="V328" s="244"/>
      <c r="W328" s="244"/>
      <c r="X328" s="244"/>
      <c r="Y328" s="244"/>
      <c r="Z328" s="244"/>
      <c r="AA328" s="244"/>
      <c r="AB328" s="243"/>
      <c r="AC328" s="243" t="s">
        <v>278</v>
      </c>
      <c r="AD328" s="244"/>
      <c r="AE328" s="244"/>
      <c r="AF328" s="248">
        <v>20250430</v>
      </c>
      <c r="AG328" s="244"/>
      <c r="AH328" s="244"/>
      <c r="AI328" s="249">
        <v>20250430</v>
      </c>
      <c r="AJ328" s="250"/>
      <c r="AK328" s="244">
        <v>8060083947</v>
      </c>
      <c r="AL328" s="250"/>
      <c r="AM328" s="244" t="s">
        <v>298</v>
      </c>
      <c r="AN328" s="244"/>
      <c r="AO328" s="234">
        <v>0</v>
      </c>
      <c r="AP328" s="232">
        <f t="shared" si="12"/>
        <v>142350</v>
      </c>
      <c r="AQ328" s="230">
        <f t="shared" si="13"/>
        <v>4</v>
      </c>
    </row>
    <row r="329" spans="1:43" s="246" customFormat="1" ht="14.4">
      <c r="A329" s="242">
        <v>1</v>
      </c>
      <c r="B329" s="243" t="s">
        <v>273</v>
      </c>
      <c r="C329" s="244" t="s">
        <v>280</v>
      </c>
      <c r="D329" s="245">
        <v>45777</v>
      </c>
      <c r="E329" s="245">
        <v>45777</v>
      </c>
      <c r="F329" s="244" t="s">
        <v>281</v>
      </c>
      <c r="G329" s="242" t="s">
        <v>275</v>
      </c>
      <c r="H329" s="244"/>
      <c r="I329" s="246">
        <v>2</v>
      </c>
      <c r="J329" s="242" t="s">
        <v>276</v>
      </c>
      <c r="K329" s="244">
        <v>1533010002</v>
      </c>
      <c r="L329" s="244"/>
      <c r="M329" s="244"/>
      <c r="N329" s="244"/>
      <c r="O329" s="244"/>
      <c r="P329" s="244"/>
      <c r="Q329" s="244"/>
      <c r="R329" s="244"/>
      <c r="S329" s="244"/>
      <c r="T329" s="247">
        <v>-41238</v>
      </c>
      <c r="U329" s="243" t="s">
        <v>277</v>
      </c>
      <c r="V329" s="244"/>
      <c r="W329" s="244"/>
      <c r="X329" s="244"/>
      <c r="Y329" s="244"/>
      <c r="Z329" s="244"/>
      <c r="AA329" s="244"/>
      <c r="AB329" s="243"/>
      <c r="AC329" s="243" t="s">
        <v>278</v>
      </c>
      <c r="AD329" s="244"/>
      <c r="AE329" s="244"/>
      <c r="AF329" s="248">
        <v>20250430</v>
      </c>
      <c r="AG329" s="244"/>
      <c r="AH329" s="244"/>
      <c r="AI329" s="249">
        <v>20250430</v>
      </c>
      <c r="AJ329" s="250">
        <v>8909049961</v>
      </c>
      <c r="AK329" s="244"/>
      <c r="AL329" s="250"/>
      <c r="AM329" s="244" t="s">
        <v>216</v>
      </c>
      <c r="AN329" s="244"/>
      <c r="AO329" s="234">
        <v>0</v>
      </c>
      <c r="AP329" s="232">
        <f>+ABS(T329)</f>
        <v>41238</v>
      </c>
      <c r="AQ329" s="230">
        <f t="shared" si="13"/>
        <v>4</v>
      </c>
    </row>
    <row r="330" spans="1:43" s="246" customFormat="1" ht="14.4">
      <c r="A330" s="242">
        <v>1</v>
      </c>
      <c r="B330" s="243" t="s">
        <v>273</v>
      </c>
      <c r="C330" s="244" t="s">
        <v>280</v>
      </c>
      <c r="D330" s="245">
        <v>45777</v>
      </c>
      <c r="E330" s="245">
        <v>45777</v>
      </c>
      <c r="F330" s="244" t="s">
        <v>281</v>
      </c>
      <c r="G330" s="242" t="s">
        <v>275</v>
      </c>
      <c r="H330" s="244"/>
      <c r="I330" s="246">
        <v>10</v>
      </c>
      <c r="J330" s="242" t="s">
        <v>276</v>
      </c>
      <c r="K330" s="244">
        <v>1533010002</v>
      </c>
      <c r="L330" s="244"/>
      <c r="M330" s="244"/>
      <c r="N330" s="244"/>
      <c r="O330" s="244"/>
      <c r="P330" s="244"/>
      <c r="Q330" s="244"/>
      <c r="R330" s="244"/>
      <c r="S330" s="244"/>
      <c r="T330" s="247">
        <v>-3769000</v>
      </c>
      <c r="U330" s="243" t="s">
        <v>277</v>
      </c>
      <c r="V330" s="244"/>
      <c r="W330" s="244"/>
      <c r="X330" s="244"/>
      <c r="Y330" s="244"/>
      <c r="Z330" s="244"/>
      <c r="AA330" s="244"/>
      <c r="AB330" s="243"/>
      <c r="AC330" s="243" t="s">
        <v>278</v>
      </c>
      <c r="AD330" s="244"/>
      <c r="AE330" s="244"/>
      <c r="AF330" s="248">
        <v>20250430</v>
      </c>
      <c r="AG330" s="244"/>
      <c r="AH330" s="244"/>
      <c r="AI330" s="249">
        <v>20250430</v>
      </c>
      <c r="AJ330" s="250">
        <v>1094162154</v>
      </c>
      <c r="AK330" s="244"/>
      <c r="AL330" s="250"/>
      <c r="AM330" s="244" t="s">
        <v>304</v>
      </c>
      <c r="AN330" s="244"/>
      <c r="AO330" s="234">
        <v>0</v>
      </c>
      <c r="AP330" s="232">
        <f>+ABS(T330)</f>
        <v>3769000</v>
      </c>
      <c r="AQ330" s="230">
        <f t="shared" si="13"/>
        <v>4</v>
      </c>
    </row>
    <row r="331" spans="1:43" s="246" customFormat="1" ht="14.4">
      <c r="A331" s="242">
        <v>1</v>
      </c>
      <c r="B331" s="243" t="s">
        <v>273</v>
      </c>
      <c r="C331" s="244" t="s">
        <v>280</v>
      </c>
      <c r="D331" s="245">
        <v>45777</v>
      </c>
      <c r="E331" s="245">
        <v>45777</v>
      </c>
      <c r="F331" s="244" t="s">
        <v>281</v>
      </c>
      <c r="G331" s="242" t="s">
        <v>275</v>
      </c>
      <c r="H331" s="244"/>
      <c r="I331" s="246">
        <v>12</v>
      </c>
      <c r="J331" s="242" t="s">
        <v>276</v>
      </c>
      <c r="K331" s="244">
        <v>1533010002</v>
      </c>
      <c r="L331" s="244"/>
      <c r="M331" s="244"/>
      <c r="N331" s="244"/>
      <c r="O331" s="244"/>
      <c r="P331" s="244"/>
      <c r="Q331" s="244"/>
      <c r="R331" s="244"/>
      <c r="S331" s="244"/>
      <c r="T331" s="247">
        <v>-14791300</v>
      </c>
      <c r="U331" s="243" t="s">
        <v>277</v>
      </c>
      <c r="V331" s="244"/>
      <c r="W331" s="244"/>
      <c r="X331" s="244"/>
      <c r="Y331" s="244"/>
      <c r="Z331" s="244"/>
      <c r="AA331" s="244"/>
      <c r="AB331" s="243"/>
      <c r="AC331" s="243" t="s">
        <v>278</v>
      </c>
      <c r="AD331" s="244"/>
      <c r="AE331" s="244"/>
      <c r="AF331" s="248">
        <v>20250430</v>
      </c>
      <c r="AG331" s="244"/>
      <c r="AH331" s="244"/>
      <c r="AI331" s="249">
        <v>20250430</v>
      </c>
      <c r="AJ331" s="250">
        <v>1128425981</v>
      </c>
      <c r="AK331" s="244"/>
      <c r="AL331" s="250"/>
      <c r="AM331" s="244" t="s">
        <v>304</v>
      </c>
      <c r="AN331" s="244"/>
      <c r="AO331" s="234">
        <v>0</v>
      </c>
      <c r="AP331" s="232">
        <f>+ABS(T331)</f>
        <v>14791300</v>
      </c>
      <c r="AQ331" s="230">
        <f t="shared" si="13"/>
        <v>4</v>
      </c>
    </row>
    <row r="332" spans="1:43" s="246" customFormat="1" ht="14.4">
      <c r="A332" s="242">
        <v>1</v>
      </c>
      <c r="B332" s="243" t="s">
        <v>273</v>
      </c>
      <c r="C332" s="244" t="s">
        <v>280</v>
      </c>
      <c r="D332" s="245">
        <v>45777</v>
      </c>
      <c r="E332" s="245">
        <v>45777</v>
      </c>
      <c r="F332" s="244" t="s">
        <v>281</v>
      </c>
      <c r="G332" s="242" t="s">
        <v>275</v>
      </c>
      <c r="H332" s="244"/>
      <c r="I332" s="246">
        <v>14</v>
      </c>
      <c r="J332" s="242" t="s">
        <v>276</v>
      </c>
      <c r="K332" s="244">
        <v>1533010002</v>
      </c>
      <c r="L332" s="244"/>
      <c r="M332" s="244"/>
      <c r="N332" s="244"/>
      <c r="O332" s="244"/>
      <c r="P332" s="244"/>
      <c r="Q332" s="244"/>
      <c r="R332" s="244"/>
      <c r="S332" s="244"/>
      <c r="T332" s="247">
        <v>-57177</v>
      </c>
      <c r="U332" s="243" t="s">
        <v>277</v>
      </c>
      <c r="V332" s="244"/>
      <c r="W332" s="244"/>
      <c r="X332" s="244"/>
      <c r="Y332" s="244"/>
      <c r="Z332" s="244"/>
      <c r="AA332" s="244"/>
      <c r="AB332" s="243"/>
      <c r="AC332" s="243" t="s">
        <v>278</v>
      </c>
      <c r="AD332" s="244"/>
      <c r="AE332" s="244"/>
      <c r="AF332" s="248">
        <v>20250430</v>
      </c>
      <c r="AG332" s="244"/>
      <c r="AH332" s="244"/>
      <c r="AI332" s="249">
        <v>20250430</v>
      </c>
      <c r="AJ332" s="250">
        <v>8600021839</v>
      </c>
      <c r="AK332" s="244"/>
      <c r="AL332" s="250"/>
      <c r="AM332" s="244" t="s">
        <v>317</v>
      </c>
      <c r="AN332" s="244"/>
      <c r="AO332" s="234">
        <v>0</v>
      </c>
      <c r="AP332" s="232">
        <f>+ABS(T332)</f>
        <v>57177</v>
      </c>
      <c r="AQ332" s="230">
        <f t="shared" si="13"/>
        <v>4</v>
      </c>
    </row>
    <row r="333" spans="1:43">
      <c r="A333" s="228">
        <v>1</v>
      </c>
      <c r="B333" s="228" t="s">
        <v>273</v>
      </c>
      <c r="C333" s="230" t="s">
        <v>280</v>
      </c>
      <c r="D333" s="251">
        <v>45808</v>
      </c>
      <c r="E333" s="251">
        <v>45808</v>
      </c>
      <c r="F333" s="230" t="s">
        <v>281</v>
      </c>
      <c r="G333" s="230" t="s">
        <v>275</v>
      </c>
      <c r="I333" s="230">
        <v>71</v>
      </c>
      <c r="J333" s="230" t="s">
        <v>276</v>
      </c>
      <c r="K333" s="230">
        <v>1533010002</v>
      </c>
      <c r="T333" s="232">
        <v>-1856000</v>
      </c>
      <c r="U333" s="230" t="s">
        <v>277</v>
      </c>
      <c r="AC333" s="229" t="s">
        <v>278</v>
      </c>
      <c r="AF333" s="230">
        <v>20250531</v>
      </c>
      <c r="AI333" s="230">
        <v>20250531</v>
      </c>
      <c r="AK333" s="230">
        <v>9001562642</v>
      </c>
      <c r="AM333" s="230" t="s">
        <v>316</v>
      </c>
      <c r="AO333" s="234">
        <v>0</v>
      </c>
      <c r="AP333" s="232">
        <f t="shared" ref="AP333:AP396" si="14">+ABS(T333)</f>
        <v>1856000</v>
      </c>
      <c r="AQ333" s="230">
        <f t="shared" si="13"/>
        <v>5</v>
      </c>
    </row>
    <row r="334" spans="1:43">
      <c r="A334" s="228">
        <v>1</v>
      </c>
      <c r="B334" s="228" t="s">
        <v>273</v>
      </c>
      <c r="C334" s="230" t="s">
        <v>280</v>
      </c>
      <c r="D334" s="251">
        <v>45808</v>
      </c>
      <c r="E334" s="251">
        <v>45808</v>
      </c>
      <c r="F334" s="230" t="s">
        <v>281</v>
      </c>
      <c r="G334" s="230" t="s">
        <v>275</v>
      </c>
      <c r="I334" s="230">
        <v>72</v>
      </c>
      <c r="J334" s="230" t="s">
        <v>276</v>
      </c>
      <c r="K334" s="230">
        <v>1533010002</v>
      </c>
      <c r="T334" s="232">
        <v>-1078246</v>
      </c>
      <c r="U334" s="230" t="s">
        <v>277</v>
      </c>
      <c r="AC334" s="229" t="s">
        <v>278</v>
      </c>
      <c r="AF334" s="230">
        <v>20250531</v>
      </c>
      <c r="AI334" s="230">
        <v>20250531</v>
      </c>
      <c r="AK334" s="230">
        <v>8050011572</v>
      </c>
      <c r="AM334" s="230" t="s">
        <v>284</v>
      </c>
      <c r="AO334" s="234">
        <v>0</v>
      </c>
      <c r="AP334" s="232">
        <f t="shared" si="14"/>
        <v>1078246</v>
      </c>
      <c r="AQ334" s="230">
        <f t="shared" si="13"/>
        <v>5</v>
      </c>
    </row>
    <row r="335" spans="1:43">
      <c r="A335" s="228">
        <v>1</v>
      </c>
      <c r="B335" s="228" t="s">
        <v>273</v>
      </c>
      <c r="C335" s="230" t="s">
        <v>280</v>
      </c>
      <c r="D335" s="251">
        <v>45808</v>
      </c>
      <c r="E335" s="251">
        <v>45808</v>
      </c>
      <c r="F335" s="230" t="s">
        <v>281</v>
      </c>
      <c r="G335" s="230" t="s">
        <v>275</v>
      </c>
      <c r="I335" s="230">
        <v>73</v>
      </c>
      <c r="J335" s="230" t="s">
        <v>276</v>
      </c>
      <c r="K335" s="230">
        <v>1533010002</v>
      </c>
      <c r="T335" s="232">
        <v>-2260133</v>
      </c>
      <c r="U335" s="230" t="s">
        <v>277</v>
      </c>
      <c r="AC335" s="229" t="s">
        <v>278</v>
      </c>
      <c r="AF335" s="230">
        <v>20250531</v>
      </c>
      <c r="AI335" s="230">
        <v>20250531</v>
      </c>
      <c r="AK335" s="230">
        <v>8600021839</v>
      </c>
      <c r="AM335" s="230" t="s">
        <v>288</v>
      </c>
      <c r="AO335" s="234">
        <v>0</v>
      </c>
      <c r="AP335" s="232">
        <f t="shared" si="14"/>
        <v>2260133</v>
      </c>
      <c r="AQ335" s="230">
        <f t="shared" si="13"/>
        <v>5</v>
      </c>
    </row>
    <row r="336" spans="1:43">
      <c r="A336" s="228">
        <v>1</v>
      </c>
      <c r="B336" s="228" t="s">
        <v>273</v>
      </c>
      <c r="C336" s="230" t="s">
        <v>280</v>
      </c>
      <c r="D336" s="251">
        <v>45808</v>
      </c>
      <c r="E336" s="251">
        <v>45808</v>
      </c>
      <c r="F336" s="230" t="s">
        <v>281</v>
      </c>
      <c r="G336" s="230" t="s">
        <v>275</v>
      </c>
      <c r="I336" s="230">
        <v>74</v>
      </c>
      <c r="J336" s="230" t="s">
        <v>276</v>
      </c>
      <c r="K336" s="230">
        <v>1533010002</v>
      </c>
      <c r="T336" s="232">
        <v>-189800</v>
      </c>
      <c r="U336" s="230" t="s">
        <v>277</v>
      </c>
      <c r="AC336" s="229" t="s">
        <v>278</v>
      </c>
      <c r="AF336" s="230">
        <v>20250531</v>
      </c>
      <c r="AI336" s="230">
        <v>20250531</v>
      </c>
      <c r="AK336" s="230">
        <v>8600669427</v>
      </c>
      <c r="AM336" s="230" t="s">
        <v>289</v>
      </c>
      <c r="AO336" s="234">
        <v>0</v>
      </c>
      <c r="AP336" s="232">
        <f t="shared" si="14"/>
        <v>189800</v>
      </c>
      <c r="AQ336" s="230">
        <f t="shared" si="13"/>
        <v>5</v>
      </c>
    </row>
    <row r="337" spans="1:43">
      <c r="A337" s="228">
        <v>1</v>
      </c>
      <c r="B337" s="228" t="s">
        <v>273</v>
      </c>
      <c r="C337" s="230" t="s">
        <v>280</v>
      </c>
      <c r="D337" s="251">
        <v>45808</v>
      </c>
      <c r="E337" s="251">
        <v>45808</v>
      </c>
      <c r="F337" s="230" t="s">
        <v>281</v>
      </c>
      <c r="G337" s="230" t="s">
        <v>275</v>
      </c>
      <c r="I337" s="230">
        <v>75</v>
      </c>
      <c r="J337" s="230" t="s">
        <v>276</v>
      </c>
      <c r="K337" s="230">
        <v>1533010002</v>
      </c>
      <c r="T337" s="232">
        <v>-269126</v>
      </c>
      <c r="U337" s="230" t="s">
        <v>277</v>
      </c>
      <c r="AC337" s="229" t="s">
        <v>278</v>
      </c>
      <c r="AF337" s="230">
        <v>20250531</v>
      </c>
      <c r="AI337" s="230">
        <v>20250531</v>
      </c>
      <c r="AK337" s="230">
        <v>8002514406</v>
      </c>
      <c r="AM337" s="230" t="s">
        <v>283</v>
      </c>
      <c r="AO337" s="234">
        <v>0</v>
      </c>
      <c r="AP337" s="232">
        <f t="shared" si="14"/>
        <v>269126</v>
      </c>
      <c r="AQ337" s="230">
        <f t="shared" si="13"/>
        <v>5</v>
      </c>
    </row>
    <row r="338" spans="1:43">
      <c r="A338" s="228">
        <v>1</v>
      </c>
      <c r="B338" s="228" t="s">
        <v>273</v>
      </c>
      <c r="C338" s="230" t="s">
        <v>280</v>
      </c>
      <c r="D338" s="251">
        <v>45808</v>
      </c>
      <c r="E338" s="251">
        <v>45808</v>
      </c>
      <c r="F338" s="230" t="s">
        <v>281</v>
      </c>
      <c r="G338" s="230" t="s">
        <v>275</v>
      </c>
      <c r="I338" s="230">
        <v>76</v>
      </c>
      <c r="J338" s="230" t="s">
        <v>276</v>
      </c>
      <c r="K338" s="230">
        <v>1533010002</v>
      </c>
      <c r="T338" s="232">
        <v>-12318452</v>
      </c>
      <c r="U338" s="230" t="s">
        <v>277</v>
      </c>
      <c r="AC338" s="229" t="s">
        <v>278</v>
      </c>
      <c r="AF338" s="230">
        <v>20250531</v>
      </c>
      <c r="AI338" s="230">
        <v>20250531</v>
      </c>
      <c r="AK338" s="230">
        <v>8000887022</v>
      </c>
      <c r="AM338" s="230" t="s">
        <v>292</v>
      </c>
      <c r="AO338" s="234">
        <v>0</v>
      </c>
      <c r="AP338" s="232">
        <f t="shared" si="14"/>
        <v>12318452</v>
      </c>
      <c r="AQ338" s="230">
        <f t="shared" si="13"/>
        <v>5</v>
      </c>
    </row>
    <row r="339" spans="1:43">
      <c r="A339" s="228">
        <v>1</v>
      </c>
      <c r="B339" s="228" t="s">
        <v>273</v>
      </c>
      <c r="C339" s="230" t="s">
        <v>280</v>
      </c>
      <c r="D339" s="251">
        <v>45808</v>
      </c>
      <c r="E339" s="251">
        <v>45808</v>
      </c>
      <c r="F339" s="230" t="s">
        <v>281</v>
      </c>
      <c r="G339" s="230" t="s">
        <v>275</v>
      </c>
      <c r="I339" s="230">
        <v>77</v>
      </c>
      <c r="J339" s="230" t="s">
        <v>276</v>
      </c>
      <c r="K339" s="230">
        <v>1533010002</v>
      </c>
      <c r="T339" s="232">
        <v>-1423500</v>
      </c>
      <c r="U339" s="230" t="s">
        <v>277</v>
      </c>
      <c r="AC339" s="229" t="s">
        <v>278</v>
      </c>
      <c r="AF339" s="230">
        <v>20250531</v>
      </c>
      <c r="AI339" s="230">
        <v>20250531</v>
      </c>
      <c r="AK339" s="230">
        <v>8002492410</v>
      </c>
      <c r="AM339" s="230" t="s">
        <v>297</v>
      </c>
      <c r="AO339" s="234">
        <v>0</v>
      </c>
      <c r="AP339" s="232">
        <f t="shared" si="14"/>
        <v>1423500</v>
      </c>
      <c r="AQ339" s="230">
        <f t="shared" si="13"/>
        <v>5</v>
      </c>
    </row>
    <row r="340" spans="1:43">
      <c r="A340" s="228">
        <v>1</v>
      </c>
      <c r="B340" s="228" t="s">
        <v>273</v>
      </c>
      <c r="C340" s="230" t="s">
        <v>280</v>
      </c>
      <c r="D340" s="251">
        <v>45808</v>
      </c>
      <c r="E340" s="251">
        <v>45808</v>
      </c>
      <c r="F340" s="230" t="s">
        <v>281</v>
      </c>
      <c r="G340" s="230" t="s">
        <v>275</v>
      </c>
      <c r="I340" s="230">
        <v>78</v>
      </c>
      <c r="J340" s="230" t="s">
        <v>276</v>
      </c>
      <c r="K340" s="230">
        <v>1533010002</v>
      </c>
      <c r="T340" s="232">
        <v>-8538591</v>
      </c>
      <c r="U340" s="230" t="s">
        <v>277</v>
      </c>
      <c r="AC340" s="229" t="s">
        <v>278</v>
      </c>
      <c r="AF340" s="230">
        <v>20250531</v>
      </c>
      <c r="AI340" s="230">
        <v>20250531</v>
      </c>
      <c r="AK340" s="230">
        <v>8002514406</v>
      </c>
      <c r="AM340" s="230" t="s">
        <v>283</v>
      </c>
      <c r="AO340" s="234">
        <v>0</v>
      </c>
      <c r="AP340" s="232">
        <f t="shared" si="14"/>
        <v>8538591</v>
      </c>
      <c r="AQ340" s="230">
        <f t="shared" si="13"/>
        <v>5</v>
      </c>
    </row>
    <row r="341" spans="1:43">
      <c r="A341" s="228">
        <v>1</v>
      </c>
      <c r="B341" s="228" t="s">
        <v>273</v>
      </c>
      <c r="C341" s="230" t="s">
        <v>280</v>
      </c>
      <c r="D341" s="251">
        <v>45808</v>
      </c>
      <c r="E341" s="251">
        <v>45808</v>
      </c>
      <c r="F341" s="230" t="s">
        <v>281</v>
      </c>
      <c r="G341" s="230" t="s">
        <v>275</v>
      </c>
      <c r="I341" s="230">
        <v>79</v>
      </c>
      <c r="J341" s="230" t="s">
        <v>276</v>
      </c>
      <c r="K341" s="230">
        <v>1533010002</v>
      </c>
      <c r="T341" s="232">
        <v>-142350</v>
      </c>
      <c r="U341" s="230" t="s">
        <v>277</v>
      </c>
      <c r="AC341" s="229" t="s">
        <v>278</v>
      </c>
      <c r="AF341" s="230">
        <v>20250531</v>
      </c>
      <c r="AI341" s="230">
        <v>20250531</v>
      </c>
      <c r="AK341" s="230">
        <v>8002492410</v>
      </c>
      <c r="AM341" s="230" t="s">
        <v>297</v>
      </c>
      <c r="AO341" s="234">
        <v>0</v>
      </c>
      <c r="AP341" s="232">
        <f t="shared" si="14"/>
        <v>142350</v>
      </c>
      <c r="AQ341" s="230">
        <f t="shared" si="13"/>
        <v>5</v>
      </c>
    </row>
    <row r="342" spans="1:43">
      <c r="A342" s="228">
        <v>1</v>
      </c>
      <c r="B342" s="228" t="s">
        <v>273</v>
      </c>
      <c r="C342" s="230" t="s">
        <v>280</v>
      </c>
      <c r="D342" s="251">
        <v>45808</v>
      </c>
      <c r="E342" s="251">
        <v>45808</v>
      </c>
      <c r="F342" s="230" t="s">
        <v>281</v>
      </c>
      <c r="G342" s="230" t="s">
        <v>275</v>
      </c>
      <c r="I342" s="230">
        <v>80</v>
      </c>
      <c r="J342" s="230" t="s">
        <v>276</v>
      </c>
      <c r="K342" s="230">
        <v>1533010002</v>
      </c>
      <c r="T342" s="232">
        <v>-1347450</v>
      </c>
      <c r="U342" s="230" t="s">
        <v>277</v>
      </c>
      <c r="AC342" s="229" t="s">
        <v>278</v>
      </c>
      <c r="AF342" s="230">
        <v>20250531</v>
      </c>
      <c r="AI342" s="230">
        <v>20250531</v>
      </c>
      <c r="AK342" s="230">
        <v>8600669427</v>
      </c>
      <c r="AM342" s="230" t="s">
        <v>289</v>
      </c>
      <c r="AO342" s="234">
        <v>0</v>
      </c>
      <c r="AP342" s="232">
        <f t="shared" si="14"/>
        <v>1347450</v>
      </c>
      <c r="AQ342" s="230">
        <f t="shared" si="13"/>
        <v>5</v>
      </c>
    </row>
    <row r="343" spans="1:43">
      <c r="A343" s="228">
        <v>1</v>
      </c>
      <c r="B343" s="228" t="s">
        <v>273</v>
      </c>
      <c r="C343" s="230" t="s">
        <v>280</v>
      </c>
      <c r="D343" s="251">
        <v>45808</v>
      </c>
      <c r="E343" s="251">
        <v>45808</v>
      </c>
      <c r="F343" s="230" t="s">
        <v>281</v>
      </c>
      <c r="G343" s="230" t="s">
        <v>275</v>
      </c>
      <c r="I343" s="230">
        <v>81</v>
      </c>
      <c r="J343" s="230" t="s">
        <v>276</v>
      </c>
      <c r="K343" s="230">
        <v>1533010002</v>
      </c>
      <c r="T343" s="232">
        <v>-4944047</v>
      </c>
      <c r="U343" s="230" t="s">
        <v>277</v>
      </c>
      <c r="AC343" s="229" t="s">
        <v>278</v>
      </c>
      <c r="AF343" s="230">
        <v>20250531</v>
      </c>
      <c r="AI343" s="230">
        <v>20250531</v>
      </c>
      <c r="AK343" s="230">
        <v>8002514406</v>
      </c>
      <c r="AM343" s="230" t="s">
        <v>283</v>
      </c>
      <c r="AO343" s="234">
        <v>0</v>
      </c>
      <c r="AP343" s="232">
        <f t="shared" si="14"/>
        <v>4944047</v>
      </c>
      <c r="AQ343" s="230">
        <f t="shared" si="13"/>
        <v>5</v>
      </c>
    </row>
    <row r="344" spans="1:43">
      <c r="A344" s="228">
        <v>1</v>
      </c>
      <c r="B344" s="228" t="s">
        <v>273</v>
      </c>
      <c r="C344" s="230" t="s">
        <v>280</v>
      </c>
      <c r="D344" s="251">
        <v>45808</v>
      </c>
      <c r="E344" s="251">
        <v>45808</v>
      </c>
      <c r="F344" s="230" t="s">
        <v>281</v>
      </c>
      <c r="G344" s="230" t="s">
        <v>275</v>
      </c>
      <c r="I344" s="230">
        <v>82</v>
      </c>
      <c r="J344" s="230" t="s">
        <v>276</v>
      </c>
      <c r="K344" s="230">
        <v>1533010002</v>
      </c>
      <c r="T344" s="232">
        <v>-47450</v>
      </c>
      <c r="U344" s="230" t="s">
        <v>277</v>
      </c>
      <c r="AC344" s="229" t="s">
        <v>278</v>
      </c>
      <c r="AF344" s="230">
        <v>20250531</v>
      </c>
      <c r="AI344" s="230">
        <v>20250531</v>
      </c>
      <c r="AK344" s="230">
        <v>8002514406</v>
      </c>
      <c r="AM344" s="230" t="s">
        <v>283</v>
      </c>
      <c r="AO344" s="234">
        <v>0</v>
      </c>
      <c r="AP344" s="232">
        <f t="shared" si="14"/>
        <v>47450</v>
      </c>
      <c r="AQ344" s="230">
        <f t="shared" si="13"/>
        <v>5</v>
      </c>
    </row>
    <row r="345" spans="1:43">
      <c r="A345" s="228">
        <v>1</v>
      </c>
      <c r="B345" s="228" t="s">
        <v>273</v>
      </c>
      <c r="C345" s="230" t="s">
        <v>280</v>
      </c>
      <c r="D345" s="251">
        <v>45808</v>
      </c>
      <c r="E345" s="251">
        <v>45808</v>
      </c>
      <c r="F345" s="230" t="s">
        <v>281</v>
      </c>
      <c r="G345" s="230" t="s">
        <v>275</v>
      </c>
      <c r="I345" s="230">
        <v>83</v>
      </c>
      <c r="J345" s="230" t="s">
        <v>276</v>
      </c>
      <c r="K345" s="230">
        <v>1533010002</v>
      </c>
      <c r="T345" s="232">
        <v>-142350</v>
      </c>
      <c r="U345" s="230" t="s">
        <v>277</v>
      </c>
      <c r="AC345" s="229" t="s">
        <v>278</v>
      </c>
      <c r="AF345" s="230">
        <v>20250531</v>
      </c>
      <c r="AI345" s="230">
        <v>20250531</v>
      </c>
      <c r="AK345" s="230">
        <v>8301138310</v>
      </c>
      <c r="AM345" s="230" t="s">
        <v>287</v>
      </c>
      <c r="AO345" s="234">
        <v>0</v>
      </c>
      <c r="AP345" s="232">
        <f t="shared" si="14"/>
        <v>142350</v>
      </c>
      <c r="AQ345" s="230">
        <f t="shared" si="13"/>
        <v>5</v>
      </c>
    </row>
    <row r="346" spans="1:43">
      <c r="A346" s="228">
        <v>1</v>
      </c>
      <c r="B346" s="228" t="s">
        <v>273</v>
      </c>
      <c r="C346" s="230" t="s">
        <v>280</v>
      </c>
      <c r="D346" s="251">
        <v>45808</v>
      </c>
      <c r="E346" s="251">
        <v>45808</v>
      </c>
      <c r="F346" s="230" t="s">
        <v>281</v>
      </c>
      <c r="G346" s="230" t="s">
        <v>275</v>
      </c>
      <c r="I346" s="230">
        <v>84</v>
      </c>
      <c r="J346" s="230" t="s">
        <v>276</v>
      </c>
      <c r="K346" s="230">
        <v>1533010002</v>
      </c>
      <c r="T346" s="232">
        <v>-1423500</v>
      </c>
      <c r="U346" s="230" t="s">
        <v>277</v>
      </c>
      <c r="AC346" s="229" t="s">
        <v>278</v>
      </c>
      <c r="AF346" s="230">
        <v>20250531</v>
      </c>
      <c r="AI346" s="230">
        <v>20250531</v>
      </c>
      <c r="AK346" s="230">
        <v>8600669427</v>
      </c>
      <c r="AM346" s="230" t="s">
        <v>289</v>
      </c>
      <c r="AO346" s="234">
        <v>0</v>
      </c>
      <c r="AP346" s="232">
        <f t="shared" si="14"/>
        <v>1423500</v>
      </c>
      <c r="AQ346" s="230">
        <f t="shared" si="13"/>
        <v>5</v>
      </c>
    </row>
    <row r="347" spans="1:43">
      <c r="A347" s="228">
        <v>1</v>
      </c>
      <c r="B347" s="228" t="s">
        <v>273</v>
      </c>
      <c r="C347" s="230" t="s">
        <v>280</v>
      </c>
      <c r="D347" s="251">
        <v>45808</v>
      </c>
      <c r="E347" s="251">
        <v>45808</v>
      </c>
      <c r="F347" s="230" t="s">
        <v>281</v>
      </c>
      <c r="G347" s="230" t="s">
        <v>275</v>
      </c>
      <c r="I347" s="230">
        <v>85</v>
      </c>
      <c r="J347" s="230" t="s">
        <v>276</v>
      </c>
      <c r="K347" s="230">
        <v>1533010002</v>
      </c>
      <c r="T347" s="232">
        <v>-1328600</v>
      </c>
      <c r="U347" s="230" t="s">
        <v>277</v>
      </c>
      <c r="AC347" s="229" t="s">
        <v>278</v>
      </c>
      <c r="AF347" s="230">
        <v>20250531</v>
      </c>
      <c r="AI347" s="230">
        <v>20250531</v>
      </c>
      <c r="AK347" s="230">
        <v>8060083947</v>
      </c>
      <c r="AM347" s="230" t="s">
        <v>293</v>
      </c>
      <c r="AO347" s="234">
        <v>0</v>
      </c>
      <c r="AP347" s="232">
        <f t="shared" si="14"/>
        <v>1328600</v>
      </c>
      <c r="AQ347" s="230">
        <f t="shared" si="13"/>
        <v>5</v>
      </c>
    </row>
    <row r="348" spans="1:43">
      <c r="A348" s="228">
        <v>1</v>
      </c>
      <c r="B348" s="228" t="s">
        <v>273</v>
      </c>
      <c r="C348" s="230" t="s">
        <v>280</v>
      </c>
      <c r="D348" s="251">
        <v>45808</v>
      </c>
      <c r="E348" s="251">
        <v>45808</v>
      </c>
      <c r="F348" s="230" t="s">
        <v>281</v>
      </c>
      <c r="G348" s="230" t="s">
        <v>275</v>
      </c>
      <c r="I348" s="230">
        <v>86</v>
      </c>
      <c r="J348" s="230" t="s">
        <v>276</v>
      </c>
      <c r="K348" s="230">
        <v>1533010002</v>
      </c>
      <c r="T348" s="232">
        <v>-1281150</v>
      </c>
      <c r="U348" s="230" t="s">
        <v>277</v>
      </c>
      <c r="AC348" s="229" t="s">
        <v>278</v>
      </c>
      <c r="AF348" s="230">
        <v>20250531</v>
      </c>
      <c r="AI348" s="230">
        <v>20250531</v>
      </c>
      <c r="AK348" s="230">
        <v>8300035647</v>
      </c>
      <c r="AM348" s="230" t="s">
        <v>286</v>
      </c>
      <c r="AO348" s="234">
        <v>0</v>
      </c>
      <c r="AP348" s="232">
        <f t="shared" si="14"/>
        <v>1281150</v>
      </c>
      <c r="AQ348" s="230">
        <f t="shared" si="13"/>
        <v>5</v>
      </c>
    </row>
    <row r="349" spans="1:43">
      <c r="A349" s="228">
        <v>1</v>
      </c>
      <c r="B349" s="228" t="s">
        <v>273</v>
      </c>
      <c r="C349" s="230" t="s">
        <v>280</v>
      </c>
      <c r="D349" s="251">
        <v>45808</v>
      </c>
      <c r="E349" s="251">
        <v>45808</v>
      </c>
      <c r="F349" s="230" t="s">
        <v>281</v>
      </c>
      <c r="G349" s="230" t="s">
        <v>275</v>
      </c>
      <c r="I349" s="230">
        <v>87</v>
      </c>
      <c r="J349" s="230" t="s">
        <v>276</v>
      </c>
      <c r="K349" s="230">
        <v>1533010002</v>
      </c>
      <c r="T349" s="232">
        <v>-1413312</v>
      </c>
      <c r="U349" s="230" t="s">
        <v>277</v>
      </c>
      <c r="AC349" s="229" t="s">
        <v>278</v>
      </c>
      <c r="AF349" s="230">
        <v>20250531</v>
      </c>
      <c r="AI349" s="230">
        <v>20250531</v>
      </c>
      <c r="AK349" s="230">
        <v>8600021839</v>
      </c>
      <c r="AM349" s="230" t="s">
        <v>288</v>
      </c>
      <c r="AO349" s="234">
        <v>0</v>
      </c>
      <c r="AP349" s="232">
        <f t="shared" si="14"/>
        <v>1413312</v>
      </c>
      <c r="AQ349" s="230">
        <f t="shared" si="13"/>
        <v>5</v>
      </c>
    </row>
    <row r="350" spans="1:43">
      <c r="A350" s="228">
        <v>1</v>
      </c>
      <c r="B350" s="228" t="s">
        <v>273</v>
      </c>
      <c r="C350" s="230" t="s">
        <v>280</v>
      </c>
      <c r="D350" s="251">
        <v>45808</v>
      </c>
      <c r="E350" s="251">
        <v>45808</v>
      </c>
      <c r="F350" s="230" t="s">
        <v>281</v>
      </c>
      <c r="G350" s="230" t="s">
        <v>275</v>
      </c>
      <c r="I350" s="230">
        <v>88</v>
      </c>
      <c r="J350" s="230" t="s">
        <v>276</v>
      </c>
      <c r="K350" s="230">
        <v>1533010002</v>
      </c>
      <c r="T350" s="232">
        <v>-6459107</v>
      </c>
      <c r="U350" s="230" t="s">
        <v>277</v>
      </c>
      <c r="AC350" s="229" t="s">
        <v>278</v>
      </c>
      <c r="AF350" s="230">
        <v>20250531</v>
      </c>
      <c r="AI350" s="230">
        <v>20250531</v>
      </c>
      <c r="AK350" s="230">
        <v>8002514406</v>
      </c>
      <c r="AM350" s="230" t="s">
        <v>283</v>
      </c>
      <c r="AO350" s="234">
        <v>0</v>
      </c>
      <c r="AP350" s="232">
        <f t="shared" si="14"/>
        <v>6459107</v>
      </c>
      <c r="AQ350" s="230">
        <f t="shared" si="13"/>
        <v>5</v>
      </c>
    </row>
    <row r="351" spans="1:43">
      <c r="A351" s="228">
        <v>1</v>
      </c>
      <c r="B351" s="228" t="s">
        <v>273</v>
      </c>
      <c r="C351" s="230" t="s">
        <v>280</v>
      </c>
      <c r="D351" s="251">
        <v>45808</v>
      </c>
      <c r="E351" s="251">
        <v>45808</v>
      </c>
      <c r="F351" s="230" t="s">
        <v>281</v>
      </c>
      <c r="G351" s="230" t="s">
        <v>275</v>
      </c>
      <c r="I351" s="230">
        <v>89</v>
      </c>
      <c r="J351" s="230" t="s">
        <v>276</v>
      </c>
      <c r="K351" s="230">
        <v>1533010002</v>
      </c>
      <c r="T351" s="232">
        <v>-284700</v>
      </c>
      <c r="U351" s="230" t="s">
        <v>277</v>
      </c>
      <c r="AC351" s="229" t="s">
        <v>278</v>
      </c>
      <c r="AF351" s="230">
        <v>20250531</v>
      </c>
      <c r="AI351" s="230">
        <v>20250531</v>
      </c>
      <c r="AK351" s="230">
        <v>8060083947</v>
      </c>
      <c r="AM351" s="230" t="s">
        <v>298</v>
      </c>
      <c r="AO351" s="234">
        <v>0</v>
      </c>
      <c r="AP351" s="232">
        <f t="shared" si="14"/>
        <v>284700</v>
      </c>
      <c r="AQ351" s="230">
        <f t="shared" si="13"/>
        <v>5</v>
      </c>
    </row>
    <row r="352" spans="1:43">
      <c r="A352" s="228">
        <v>1</v>
      </c>
      <c r="B352" s="228" t="s">
        <v>273</v>
      </c>
      <c r="C352" s="230" t="s">
        <v>280</v>
      </c>
      <c r="D352" s="251">
        <v>45808</v>
      </c>
      <c r="E352" s="251">
        <v>45808</v>
      </c>
      <c r="F352" s="230" t="s">
        <v>281</v>
      </c>
      <c r="G352" s="230" t="s">
        <v>275</v>
      </c>
      <c r="I352" s="230">
        <v>90</v>
      </c>
      <c r="J352" s="230" t="s">
        <v>276</v>
      </c>
      <c r="K352" s="230">
        <v>1533010002</v>
      </c>
      <c r="T352" s="232">
        <v>-142350</v>
      </c>
      <c r="U352" s="230" t="s">
        <v>277</v>
      </c>
      <c r="AC352" s="229" t="s">
        <v>278</v>
      </c>
      <c r="AF352" s="230">
        <v>20250531</v>
      </c>
      <c r="AI352" s="230">
        <v>20250531</v>
      </c>
      <c r="AK352" s="230">
        <v>9006043500</v>
      </c>
      <c r="AM352" s="230" t="s">
        <v>318</v>
      </c>
      <c r="AO352" s="234">
        <v>0</v>
      </c>
      <c r="AP352" s="232">
        <f t="shared" si="14"/>
        <v>142350</v>
      </c>
      <c r="AQ352" s="230">
        <f t="shared" si="13"/>
        <v>5</v>
      </c>
    </row>
    <row r="353" spans="1:43">
      <c r="A353" s="228">
        <v>1</v>
      </c>
      <c r="B353" s="228" t="s">
        <v>273</v>
      </c>
      <c r="C353" s="230" t="s">
        <v>280</v>
      </c>
      <c r="D353" s="251">
        <v>45808</v>
      </c>
      <c r="E353" s="251">
        <v>45808</v>
      </c>
      <c r="F353" s="230" t="s">
        <v>281</v>
      </c>
      <c r="G353" s="230" t="s">
        <v>275</v>
      </c>
      <c r="I353" s="230">
        <v>91</v>
      </c>
      <c r="J353" s="230" t="s">
        <v>276</v>
      </c>
      <c r="K353" s="230">
        <v>1533010002</v>
      </c>
      <c r="T353" s="232">
        <v>-142350</v>
      </c>
      <c r="U353" s="230" t="s">
        <v>277</v>
      </c>
      <c r="AC353" s="229" t="s">
        <v>278</v>
      </c>
      <c r="AF353" s="230">
        <v>20250531</v>
      </c>
      <c r="AI353" s="230">
        <v>20250531</v>
      </c>
      <c r="AK353" s="230">
        <v>9006043500</v>
      </c>
      <c r="AM353" s="230" t="s">
        <v>318</v>
      </c>
      <c r="AO353" s="234">
        <v>0</v>
      </c>
      <c r="AP353" s="232">
        <f t="shared" si="14"/>
        <v>142350</v>
      </c>
      <c r="AQ353" s="230">
        <f t="shared" si="13"/>
        <v>5</v>
      </c>
    </row>
    <row r="354" spans="1:43">
      <c r="A354" s="228">
        <v>1</v>
      </c>
      <c r="B354" s="228" t="s">
        <v>273</v>
      </c>
      <c r="C354" s="230" t="s">
        <v>280</v>
      </c>
      <c r="D354" s="251">
        <v>45808</v>
      </c>
      <c r="E354" s="251">
        <v>45808</v>
      </c>
      <c r="F354" s="230" t="s">
        <v>281</v>
      </c>
      <c r="G354" s="230" t="s">
        <v>275</v>
      </c>
      <c r="I354" s="230">
        <v>92</v>
      </c>
      <c r="J354" s="230" t="s">
        <v>276</v>
      </c>
      <c r="K354" s="230">
        <v>1533010002</v>
      </c>
      <c r="T354" s="232">
        <v>-9229350</v>
      </c>
      <c r="U354" s="230" t="s">
        <v>277</v>
      </c>
      <c r="AC354" s="229" t="s">
        <v>278</v>
      </c>
      <c r="AF354" s="230">
        <v>20250531</v>
      </c>
      <c r="AI354" s="230">
        <v>20250531</v>
      </c>
      <c r="AK354" s="230">
        <v>9001562642</v>
      </c>
      <c r="AM354" s="230" t="s">
        <v>316</v>
      </c>
      <c r="AO354" s="234">
        <v>0</v>
      </c>
      <c r="AP354" s="232">
        <f t="shared" si="14"/>
        <v>9229350</v>
      </c>
      <c r="AQ354" s="230">
        <f t="shared" si="13"/>
        <v>5</v>
      </c>
    </row>
    <row r="355" spans="1:43">
      <c r="A355" s="228">
        <v>1</v>
      </c>
      <c r="B355" s="228" t="s">
        <v>273</v>
      </c>
      <c r="C355" s="230" t="s">
        <v>280</v>
      </c>
      <c r="D355" s="251">
        <v>45808</v>
      </c>
      <c r="E355" s="251">
        <v>45808</v>
      </c>
      <c r="F355" s="230" t="s">
        <v>281</v>
      </c>
      <c r="G355" s="230" t="s">
        <v>275</v>
      </c>
      <c r="I355" s="230">
        <v>93</v>
      </c>
      <c r="J355" s="230" t="s">
        <v>276</v>
      </c>
      <c r="K355" s="230">
        <v>1533010002</v>
      </c>
      <c r="T355" s="232">
        <v>-142350</v>
      </c>
      <c r="U355" s="230" t="s">
        <v>277</v>
      </c>
      <c r="AC355" s="229" t="s">
        <v>278</v>
      </c>
      <c r="AF355" s="230">
        <v>20250531</v>
      </c>
      <c r="AI355" s="230">
        <v>20250531</v>
      </c>
      <c r="AK355" s="230">
        <v>9006043500</v>
      </c>
      <c r="AM355" s="230" t="s">
        <v>318</v>
      </c>
      <c r="AO355" s="234">
        <v>0</v>
      </c>
      <c r="AP355" s="232">
        <f t="shared" si="14"/>
        <v>142350</v>
      </c>
      <c r="AQ355" s="230">
        <f t="shared" si="13"/>
        <v>5</v>
      </c>
    </row>
    <row r="356" spans="1:43">
      <c r="A356" s="228">
        <v>1</v>
      </c>
      <c r="B356" s="228" t="s">
        <v>273</v>
      </c>
      <c r="C356" s="230" t="s">
        <v>280</v>
      </c>
      <c r="D356" s="251">
        <v>45808</v>
      </c>
      <c r="E356" s="251">
        <v>45808</v>
      </c>
      <c r="F356" s="230" t="s">
        <v>281</v>
      </c>
      <c r="G356" s="230" t="s">
        <v>275</v>
      </c>
      <c r="I356" s="230">
        <v>94</v>
      </c>
      <c r="J356" s="230" t="s">
        <v>276</v>
      </c>
      <c r="K356" s="230">
        <v>1533010002</v>
      </c>
      <c r="T356" s="232">
        <v>-616850</v>
      </c>
      <c r="U356" s="230" t="s">
        <v>277</v>
      </c>
      <c r="AC356" s="229" t="s">
        <v>278</v>
      </c>
      <c r="AF356" s="230">
        <v>20250531</v>
      </c>
      <c r="AI356" s="230">
        <v>20250531</v>
      </c>
      <c r="AK356" s="230">
        <v>8002514406</v>
      </c>
      <c r="AM356" s="230" t="s">
        <v>283</v>
      </c>
      <c r="AO356" s="234">
        <v>0</v>
      </c>
      <c r="AP356" s="232">
        <f t="shared" si="14"/>
        <v>616850</v>
      </c>
      <c r="AQ356" s="230">
        <f t="shared" si="13"/>
        <v>5</v>
      </c>
    </row>
    <row r="357" spans="1:43">
      <c r="A357" s="228">
        <v>1</v>
      </c>
      <c r="B357" s="228" t="s">
        <v>273</v>
      </c>
      <c r="C357" s="230" t="s">
        <v>280</v>
      </c>
      <c r="D357" s="251">
        <v>45808</v>
      </c>
      <c r="E357" s="251">
        <v>45808</v>
      </c>
      <c r="F357" s="230" t="s">
        <v>281</v>
      </c>
      <c r="G357" s="230" t="s">
        <v>275</v>
      </c>
      <c r="I357" s="230">
        <v>95</v>
      </c>
      <c r="J357" s="230" t="s">
        <v>276</v>
      </c>
      <c r="K357" s="230">
        <v>1533010002</v>
      </c>
      <c r="T357" s="232">
        <v>-142350</v>
      </c>
      <c r="U357" s="230" t="s">
        <v>277</v>
      </c>
      <c r="AC357" s="229" t="s">
        <v>278</v>
      </c>
      <c r="AF357" s="230">
        <v>20250531</v>
      </c>
      <c r="AI357" s="230">
        <v>20250531</v>
      </c>
      <c r="AK357" s="230">
        <v>8050011572</v>
      </c>
      <c r="AM357" s="230" t="s">
        <v>284</v>
      </c>
      <c r="AO357" s="234">
        <v>0</v>
      </c>
      <c r="AP357" s="232">
        <f t="shared" si="14"/>
        <v>142350</v>
      </c>
      <c r="AQ357" s="230">
        <f t="shared" si="13"/>
        <v>5</v>
      </c>
    </row>
    <row r="358" spans="1:43">
      <c r="A358" s="228">
        <v>1</v>
      </c>
      <c r="B358" s="228" t="s">
        <v>273</v>
      </c>
      <c r="C358" s="230" t="s">
        <v>280</v>
      </c>
      <c r="D358" s="251">
        <v>45808</v>
      </c>
      <c r="E358" s="251">
        <v>45808</v>
      </c>
      <c r="F358" s="230" t="s">
        <v>281</v>
      </c>
      <c r="G358" s="230" t="s">
        <v>275</v>
      </c>
      <c r="I358" s="230">
        <v>96</v>
      </c>
      <c r="J358" s="230" t="s">
        <v>276</v>
      </c>
      <c r="K358" s="230">
        <v>1533010002</v>
      </c>
      <c r="T358" s="232">
        <v>-702520</v>
      </c>
      <c r="U358" s="230" t="s">
        <v>277</v>
      </c>
      <c r="AC358" s="229" t="s">
        <v>278</v>
      </c>
      <c r="AF358" s="230">
        <v>20250531</v>
      </c>
      <c r="AI358" s="230">
        <v>20250531</v>
      </c>
      <c r="AK358" s="230">
        <v>8600021839</v>
      </c>
      <c r="AM358" s="230" t="s">
        <v>288</v>
      </c>
      <c r="AO358" s="234">
        <v>0</v>
      </c>
      <c r="AP358" s="232">
        <f t="shared" si="14"/>
        <v>702520</v>
      </c>
      <c r="AQ358" s="230">
        <f t="shared" si="13"/>
        <v>5</v>
      </c>
    </row>
    <row r="359" spans="1:43">
      <c r="A359" s="228">
        <v>1</v>
      </c>
      <c r="B359" s="228" t="s">
        <v>273</v>
      </c>
      <c r="C359" s="230" t="s">
        <v>280</v>
      </c>
      <c r="D359" s="251">
        <v>45808</v>
      </c>
      <c r="E359" s="251">
        <v>45808</v>
      </c>
      <c r="F359" s="230" t="s">
        <v>281</v>
      </c>
      <c r="G359" s="230" t="s">
        <v>275</v>
      </c>
      <c r="I359" s="230">
        <v>97</v>
      </c>
      <c r="J359" s="230" t="s">
        <v>276</v>
      </c>
      <c r="K359" s="230">
        <v>1533010002</v>
      </c>
      <c r="T359" s="232">
        <v>-2862842</v>
      </c>
      <c r="U359" s="230" t="s">
        <v>277</v>
      </c>
      <c r="AC359" s="229" t="s">
        <v>278</v>
      </c>
      <c r="AF359" s="230">
        <v>20250531</v>
      </c>
      <c r="AI359" s="230">
        <v>20250531</v>
      </c>
      <c r="AK359" s="230">
        <v>8300035647</v>
      </c>
      <c r="AM359" s="230" t="s">
        <v>286</v>
      </c>
      <c r="AO359" s="234">
        <v>0</v>
      </c>
      <c r="AP359" s="232">
        <f t="shared" si="14"/>
        <v>2862842</v>
      </c>
      <c r="AQ359" s="230">
        <f t="shared" si="13"/>
        <v>5</v>
      </c>
    </row>
    <row r="360" spans="1:43">
      <c r="A360" s="228">
        <v>1</v>
      </c>
      <c r="B360" s="228" t="s">
        <v>273</v>
      </c>
      <c r="C360" s="230" t="s">
        <v>280</v>
      </c>
      <c r="D360" s="251">
        <v>45808</v>
      </c>
      <c r="E360" s="251">
        <v>45808</v>
      </c>
      <c r="F360" s="230" t="s">
        <v>281</v>
      </c>
      <c r="G360" s="230" t="s">
        <v>275</v>
      </c>
      <c r="I360" s="230">
        <v>98</v>
      </c>
      <c r="J360" s="230" t="s">
        <v>276</v>
      </c>
      <c r="K360" s="230">
        <v>1533010002</v>
      </c>
      <c r="T360" s="232">
        <v>-711750</v>
      </c>
      <c r="U360" s="230" t="s">
        <v>277</v>
      </c>
      <c r="AC360" s="229" t="s">
        <v>278</v>
      </c>
      <c r="AF360" s="230">
        <v>20250531</v>
      </c>
      <c r="AI360" s="230">
        <v>20250531</v>
      </c>
      <c r="AK360" s="230">
        <v>8140003371</v>
      </c>
      <c r="AM360" s="230" t="s">
        <v>285</v>
      </c>
      <c r="AO360" s="234">
        <v>0</v>
      </c>
      <c r="AP360" s="232">
        <f t="shared" si="14"/>
        <v>711750</v>
      </c>
      <c r="AQ360" s="230">
        <f t="shared" si="13"/>
        <v>5</v>
      </c>
    </row>
    <row r="361" spans="1:43">
      <c r="A361" s="228">
        <v>1</v>
      </c>
      <c r="B361" s="228" t="s">
        <v>273</v>
      </c>
      <c r="C361" s="230" t="s">
        <v>280</v>
      </c>
      <c r="D361" s="251">
        <v>45808</v>
      </c>
      <c r="E361" s="251">
        <v>45808</v>
      </c>
      <c r="F361" s="230" t="s">
        <v>281</v>
      </c>
      <c r="G361" s="230" t="s">
        <v>275</v>
      </c>
      <c r="I361" s="230">
        <v>99</v>
      </c>
      <c r="J361" s="230" t="s">
        <v>276</v>
      </c>
      <c r="K361" s="230">
        <v>1533010002</v>
      </c>
      <c r="T361" s="232">
        <v>-5400493</v>
      </c>
      <c r="U361" s="230" t="s">
        <v>277</v>
      </c>
      <c r="AC361" s="229" t="s">
        <v>278</v>
      </c>
      <c r="AF361" s="230">
        <v>20250531</v>
      </c>
      <c r="AI361" s="230">
        <v>20250531</v>
      </c>
      <c r="AK361" s="230">
        <v>8600021839</v>
      </c>
      <c r="AM361" s="230" t="s">
        <v>288</v>
      </c>
      <c r="AO361" s="234">
        <v>0</v>
      </c>
      <c r="AP361" s="232">
        <f t="shared" si="14"/>
        <v>5400493</v>
      </c>
      <c r="AQ361" s="230">
        <f t="shared" si="13"/>
        <v>5</v>
      </c>
    </row>
    <row r="362" spans="1:43">
      <c r="A362" s="228">
        <v>1</v>
      </c>
      <c r="B362" s="228" t="s">
        <v>273</v>
      </c>
      <c r="C362" s="230" t="s">
        <v>280</v>
      </c>
      <c r="D362" s="251">
        <v>45808</v>
      </c>
      <c r="E362" s="251">
        <v>45808</v>
      </c>
      <c r="F362" s="230" t="s">
        <v>281</v>
      </c>
      <c r="G362" s="230" t="s">
        <v>275</v>
      </c>
      <c r="I362" s="230">
        <v>100</v>
      </c>
      <c r="J362" s="230" t="s">
        <v>276</v>
      </c>
      <c r="K362" s="230">
        <v>1533010002</v>
      </c>
      <c r="T362" s="232">
        <v>-2944017</v>
      </c>
      <c r="U362" s="230" t="s">
        <v>277</v>
      </c>
      <c r="AC362" s="229" t="s">
        <v>278</v>
      </c>
      <c r="AF362" s="230">
        <v>20250531</v>
      </c>
      <c r="AI362" s="230">
        <v>20250531</v>
      </c>
      <c r="AK362" s="230">
        <v>8600021839</v>
      </c>
      <c r="AM362" s="230" t="s">
        <v>288</v>
      </c>
      <c r="AO362" s="234">
        <v>0</v>
      </c>
      <c r="AP362" s="232">
        <f t="shared" si="14"/>
        <v>2944017</v>
      </c>
      <c r="AQ362" s="230">
        <f t="shared" si="13"/>
        <v>5</v>
      </c>
    </row>
    <row r="363" spans="1:43">
      <c r="A363" s="228">
        <v>1</v>
      </c>
      <c r="B363" s="228" t="s">
        <v>273</v>
      </c>
      <c r="C363" s="230" t="s">
        <v>280</v>
      </c>
      <c r="D363" s="251">
        <v>45808</v>
      </c>
      <c r="E363" s="251">
        <v>45808</v>
      </c>
      <c r="F363" s="230" t="s">
        <v>281</v>
      </c>
      <c r="G363" s="230" t="s">
        <v>275</v>
      </c>
      <c r="I363" s="230">
        <v>101</v>
      </c>
      <c r="J363" s="230" t="s">
        <v>276</v>
      </c>
      <c r="K363" s="230">
        <v>1533010002</v>
      </c>
      <c r="T363" s="232">
        <v>-709577</v>
      </c>
      <c r="U363" s="230" t="s">
        <v>277</v>
      </c>
      <c r="AC363" s="229" t="s">
        <v>278</v>
      </c>
      <c r="AF363" s="230">
        <v>20250531</v>
      </c>
      <c r="AI363" s="230">
        <v>20250531</v>
      </c>
      <c r="AK363" s="230">
        <v>8600669427</v>
      </c>
      <c r="AM363" s="230" t="s">
        <v>289</v>
      </c>
      <c r="AO363" s="234">
        <v>0</v>
      </c>
      <c r="AP363" s="232">
        <f t="shared" si="14"/>
        <v>709577</v>
      </c>
      <c r="AQ363" s="230">
        <f t="shared" si="13"/>
        <v>5</v>
      </c>
    </row>
    <row r="364" spans="1:43">
      <c r="A364" s="228">
        <v>1</v>
      </c>
      <c r="B364" s="228" t="s">
        <v>273</v>
      </c>
      <c r="C364" s="230" t="s">
        <v>280</v>
      </c>
      <c r="D364" s="251">
        <v>45808</v>
      </c>
      <c r="E364" s="251">
        <v>45808</v>
      </c>
      <c r="F364" s="230" t="s">
        <v>281</v>
      </c>
      <c r="G364" s="230" t="s">
        <v>275</v>
      </c>
      <c r="I364" s="230">
        <v>102</v>
      </c>
      <c r="J364" s="230" t="s">
        <v>276</v>
      </c>
      <c r="K364" s="230">
        <v>1533010002</v>
      </c>
      <c r="T364" s="232">
        <v>-237250</v>
      </c>
      <c r="U364" s="230" t="s">
        <v>277</v>
      </c>
      <c r="AC364" s="229" t="s">
        <v>278</v>
      </c>
      <c r="AF364" s="230">
        <v>20250531</v>
      </c>
      <c r="AI364" s="230">
        <v>20250531</v>
      </c>
      <c r="AK364" s="230">
        <v>8060083947</v>
      </c>
      <c r="AM364" s="230" t="s">
        <v>298</v>
      </c>
      <c r="AO364" s="234">
        <v>0</v>
      </c>
      <c r="AP364" s="232">
        <f t="shared" si="14"/>
        <v>237250</v>
      </c>
      <c r="AQ364" s="230">
        <f t="shared" si="13"/>
        <v>5</v>
      </c>
    </row>
    <row r="365" spans="1:43">
      <c r="A365" s="228">
        <v>1</v>
      </c>
      <c r="B365" s="228" t="s">
        <v>273</v>
      </c>
      <c r="C365" s="230" t="s">
        <v>280</v>
      </c>
      <c r="D365" s="251">
        <v>45808</v>
      </c>
      <c r="E365" s="251">
        <v>45808</v>
      </c>
      <c r="F365" s="230" t="s">
        <v>281</v>
      </c>
      <c r="G365" s="230" t="s">
        <v>275</v>
      </c>
      <c r="I365" s="230">
        <v>103</v>
      </c>
      <c r="J365" s="230" t="s">
        <v>276</v>
      </c>
      <c r="K365" s="230">
        <v>1533010002</v>
      </c>
      <c r="T365" s="232">
        <v>-1516667</v>
      </c>
      <c r="U365" s="230" t="s">
        <v>277</v>
      </c>
      <c r="AC365" s="229" t="s">
        <v>278</v>
      </c>
      <c r="AF365" s="230">
        <v>20250531</v>
      </c>
      <c r="AI365" s="230">
        <v>20250531</v>
      </c>
      <c r="AK365" s="230">
        <v>8300035647</v>
      </c>
      <c r="AM365" s="230" t="s">
        <v>286</v>
      </c>
      <c r="AO365" s="234">
        <v>0</v>
      </c>
      <c r="AP365" s="232">
        <f t="shared" si="14"/>
        <v>1516667</v>
      </c>
      <c r="AQ365" s="230">
        <f t="shared" si="13"/>
        <v>5</v>
      </c>
    </row>
    <row r="366" spans="1:43">
      <c r="A366" s="228">
        <v>1</v>
      </c>
      <c r="B366" s="228" t="s">
        <v>273</v>
      </c>
      <c r="C366" s="230" t="s">
        <v>280</v>
      </c>
      <c r="D366" s="251">
        <v>45808</v>
      </c>
      <c r="E366" s="251">
        <v>45808</v>
      </c>
      <c r="F366" s="230" t="s">
        <v>281</v>
      </c>
      <c r="G366" s="230" t="s">
        <v>275</v>
      </c>
      <c r="I366" s="230">
        <v>104</v>
      </c>
      <c r="J366" s="230" t="s">
        <v>276</v>
      </c>
      <c r="K366" s="230">
        <v>1533010002</v>
      </c>
      <c r="T366" s="232">
        <v>-1423500</v>
      </c>
      <c r="U366" s="230" t="s">
        <v>277</v>
      </c>
      <c r="AC366" s="229" t="s">
        <v>278</v>
      </c>
      <c r="AF366" s="230">
        <v>20250531</v>
      </c>
      <c r="AI366" s="230">
        <v>20250531</v>
      </c>
      <c r="AK366" s="230">
        <v>8002492410</v>
      </c>
      <c r="AM366" s="230" t="s">
        <v>297</v>
      </c>
      <c r="AO366" s="234">
        <v>0</v>
      </c>
      <c r="AP366" s="232">
        <f t="shared" si="14"/>
        <v>1423500</v>
      </c>
      <c r="AQ366" s="230">
        <f t="shared" si="13"/>
        <v>5</v>
      </c>
    </row>
    <row r="367" spans="1:43">
      <c r="A367" s="228">
        <v>1</v>
      </c>
      <c r="B367" s="228" t="s">
        <v>273</v>
      </c>
      <c r="C367" s="230" t="s">
        <v>280</v>
      </c>
      <c r="D367" s="251">
        <v>45808</v>
      </c>
      <c r="E367" s="251">
        <v>45808</v>
      </c>
      <c r="F367" s="230" t="s">
        <v>281</v>
      </c>
      <c r="G367" s="230" t="s">
        <v>275</v>
      </c>
      <c r="I367" s="230">
        <v>105</v>
      </c>
      <c r="J367" s="230" t="s">
        <v>276</v>
      </c>
      <c r="K367" s="230">
        <v>1533010002</v>
      </c>
      <c r="T367" s="232">
        <v>-4582788</v>
      </c>
      <c r="U367" s="230" t="s">
        <v>277</v>
      </c>
      <c r="AC367" s="229" t="s">
        <v>278</v>
      </c>
      <c r="AF367" s="230">
        <v>20250531</v>
      </c>
      <c r="AI367" s="230">
        <v>20250531</v>
      </c>
      <c r="AK367" s="230">
        <v>8001309074</v>
      </c>
      <c r="AM367" s="230" t="s">
        <v>305</v>
      </c>
      <c r="AO367" s="234">
        <v>0</v>
      </c>
      <c r="AP367" s="232">
        <f t="shared" si="14"/>
        <v>4582788</v>
      </c>
      <c r="AQ367" s="230">
        <f t="shared" si="13"/>
        <v>5</v>
      </c>
    </row>
    <row r="368" spans="1:43">
      <c r="A368" s="228">
        <v>1</v>
      </c>
      <c r="B368" s="228" t="s">
        <v>273</v>
      </c>
      <c r="C368" s="230" t="s">
        <v>280</v>
      </c>
      <c r="D368" s="251">
        <v>45808</v>
      </c>
      <c r="E368" s="251">
        <v>45808</v>
      </c>
      <c r="F368" s="230" t="s">
        <v>281</v>
      </c>
      <c r="G368" s="230" t="s">
        <v>275</v>
      </c>
      <c r="I368" s="230">
        <v>106</v>
      </c>
      <c r="J368" s="230" t="s">
        <v>276</v>
      </c>
      <c r="K368" s="230">
        <v>1533010002</v>
      </c>
      <c r="T368" s="232">
        <v>-9005645</v>
      </c>
      <c r="U368" s="230" t="s">
        <v>277</v>
      </c>
      <c r="AC368" s="229" t="s">
        <v>278</v>
      </c>
      <c r="AF368" s="230">
        <v>20250531</v>
      </c>
      <c r="AI368" s="230">
        <v>20250531</v>
      </c>
      <c r="AK368" s="230">
        <v>9001562642</v>
      </c>
      <c r="AM368" s="230" t="s">
        <v>316</v>
      </c>
      <c r="AO368" s="234">
        <v>0</v>
      </c>
      <c r="AP368" s="232">
        <f t="shared" si="14"/>
        <v>9005645</v>
      </c>
      <c r="AQ368" s="230">
        <f t="shared" si="13"/>
        <v>5</v>
      </c>
    </row>
    <row r="369" spans="1:43">
      <c r="A369" s="228">
        <v>1</v>
      </c>
      <c r="B369" s="228" t="s">
        <v>273</v>
      </c>
      <c r="C369" s="230" t="s">
        <v>280</v>
      </c>
      <c r="D369" s="251">
        <v>45808</v>
      </c>
      <c r="E369" s="251">
        <v>45808</v>
      </c>
      <c r="F369" s="230" t="s">
        <v>281</v>
      </c>
      <c r="G369" s="230" t="s">
        <v>275</v>
      </c>
      <c r="I369" s="230">
        <v>107</v>
      </c>
      <c r="J369" s="230" t="s">
        <v>276</v>
      </c>
      <c r="K369" s="230">
        <v>1533010002</v>
      </c>
      <c r="T369" s="232">
        <v>-711750</v>
      </c>
      <c r="U369" s="230" t="s">
        <v>277</v>
      </c>
      <c r="AC369" s="229" t="s">
        <v>278</v>
      </c>
      <c r="AF369" s="230">
        <v>20250531</v>
      </c>
      <c r="AI369" s="230">
        <v>20250531</v>
      </c>
      <c r="AK369" s="230">
        <v>8002492410</v>
      </c>
      <c r="AM369" s="230" t="s">
        <v>297</v>
      </c>
      <c r="AO369" s="234">
        <v>0</v>
      </c>
      <c r="AP369" s="232">
        <f t="shared" si="14"/>
        <v>711750</v>
      </c>
      <c r="AQ369" s="230">
        <f t="shared" si="13"/>
        <v>5</v>
      </c>
    </row>
    <row r="370" spans="1:43">
      <c r="A370" s="228">
        <v>1</v>
      </c>
      <c r="B370" s="228" t="s">
        <v>273</v>
      </c>
      <c r="C370" s="230" t="s">
        <v>280</v>
      </c>
      <c r="D370" s="251">
        <v>45808</v>
      </c>
      <c r="E370" s="251">
        <v>45808</v>
      </c>
      <c r="F370" s="230" t="s">
        <v>281</v>
      </c>
      <c r="G370" s="230" t="s">
        <v>275</v>
      </c>
      <c r="I370" s="230">
        <v>108</v>
      </c>
      <c r="J370" s="230" t="s">
        <v>276</v>
      </c>
      <c r="K370" s="230">
        <v>1533010002</v>
      </c>
      <c r="T370" s="232">
        <v>-23577201</v>
      </c>
      <c r="U370" s="230" t="s">
        <v>277</v>
      </c>
      <c r="AC370" s="229" t="s">
        <v>278</v>
      </c>
      <c r="AF370" s="230">
        <v>20250531</v>
      </c>
      <c r="AI370" s="230">
        <v>20250531</v>
      </c>
      <c r="AK370" s="230">
        <v>8600669427</v>
      </c>
      <c r="AM370" s="230" t="s">
        <v>289</v>
      </c>
      <c r="AO370" s="234">
        <v>0</v>
      </c>
      <c r="AP370" s="232">
        <f t="shared" si="14"/>
        <v>23577201</v>
      </c>
      <c r="AQ370" s="230">
        <f t="shared" si="13"/>
        <v>5</v>
      </c>
    </row>
    <row r="371" spans="1:43">
      <c r="A371" s="228">
        <v>1</v>
      </c>
      <c r="B371" s="228" t="s">
        <v>273</v>
      </c>
      <c r="C371" s="230" t="s">
        <v>280</v>
      </c>
      <c r="D371" s="251">
        <v>45808</v>
      </c>
      <c r="E371" s="251">
        <v>45808</v>
      </c>
      <c r="F371" s="230" t="s">
        <v>281</v>
      </c>
      <c r="G371" s="230" t="s">
        <v>275</v>
      </c>
      <c r="I371" s="230">
        <v>109</v>
      </c>
      <c r="J371" s="230" t="s">
        <v>276</v>
      </c>
      <c r="K371" s="230">
        <v>1533010002</v>
      </c>
      <c r="T371" s="232">
        <v>-43334</v>
      </c>
      <c r="U371" s="230" t="s">
        <v>277</v>
      </c>
      <c r="AC371" s="229" t="s">
        <v>278</v>
      </c>
      <c r="AF371" s="230">
        <v>20250531</v>
      </c>
      <c r="AI371" s="230">
        <v>20250531</v>
      </c>
      <c r="AK371" s="230">
        <v>8002492410</v>
      </c>
      <c r="AM371" s="230" t="s">
        <v>297</v>
      </c>
      <c r="AO371" s="234">
        <v>0</v>
      </c>
      <c r="AP371" s="232">
        <f t="shared" si="14"/>
        <v>43334</v>
      </c>
      <c r="AQ371" s="230">
        <f t="shared" si="13"/>
        <v>5</v>
      </c>
    </row>
    <row r="372" spans="1:43">
      <c r="A372" s="228">
        <v>1</v>
      </c>
      <c r="B372" s="228" t="s">
        <v>273</v>
      </c>
      <c r="C372" s="230" t="s">
        <v>280</v>
      </c>
      <c r="D372" s="251">
        <v>45808</v>
      </c>
      <c r="E372" s="251">
        <v>45808</v>
      </c>
      <c r="F372" s="230" t="s">
        <v>281</v>
      </c>
      <c r="G372" s="230" t="s">
        <v>275</v>
      </c>
      <c r="I372" s="230">
        <v>110</v>
      </c>
      <c r="J372" s="230" t="s">
        <v>276</v>
      </c>
      <c r="K372" s="230">
        <v>1533010002</v>
      </c>
      <c r="T372" s="232">
        <v>-1376050</v>
      </c>
      <c r="U372" s="230" t="s">
        <v>277</v>
      </c>
      <c r="AC372" s="229" t="s">
        <v>278</v>
      </c>
      <c r="AF372" s="230">
        <v>20250531</v>
      </c>
      <c r="AI372" s="230">
        <v>20250531</v>
      </c>
      <c r="AK372" s="230">
        <v>8002514406</v>
      </c>
      <c r="AM372" s="230" t="s">
        <v>283</v>
      </c>
      <c r="AO372" s="234">
        <v>0</v>
      </c>
      <c r="AP372" s="232">
        <f t="shared" si="14"/>
        <v>1376050</v>
      </c>
      <c r="AQ372" s="230">
        <f t="shared" si="13"/>
        <v>5</v>
      </c>
    </row>
    <row r="373" spans="1:43">
      <c r="A373" s="228">
        <v>1</v>
      </c>
      <c r="B373" s="228" t="s">
        <v>273</v>
      </c>
      <c r="C373" s="230" t="s">
        <v>280</v>
      </c>
      <c r="D373" s="251">
        <v>45808</v>
      </c>
      <c r="E373" s="251">
        <v>45808</v>
      </c>
      <c r="F373" s="230" t="s">
        <v>281</v>
      </c>
      <c r="G373" s="230" t="s">
        <v>275</v>
      </c>
      <c r="I373" s="230">
        <v>111</v>
      </c>
      <c r="J373" s="230" t="s">
        <v>276</v>
      </c>
      <c r="K373" s="230">
        <v>1533010002</v>
      </c>
      <c r="T373" s="232">
        <v>-43334</v>
      </c>
      <c r="U373" s="230" t="s">
        <v>277</v>
      </c>
      <c r="AC373" s="229" t="s">
        <v>278</v>
      </c>
      <c r="AF373" s="230">
        <v>20250531</v>
      </c>
      <c r="AI373" s="230">
        <v>20250531</v>
      </c>
      <c r="AK373" s="230">
        <v>8002492410</v>
      </c>
      <c r="AM373" s="230" t="s">
        <v>297</v>
      </c>
      <c r="AO373" s="234">
        <v>0</v>
      </c>
      <c r="AP373" s="232">
        <f t="shared" si="14"/>
        <v>43334</v>
      </c>
      <c r="AQ373" s="230">
        <f t="shared" si="13"/>
        <v>5</v>
      </c>
    </row>
    <row r="374" spans="1:43">
      <c r="A374" s="228">
        <v>1</v>
      </c>
      <c r="B374" s="228" t="s">
        <v>273</v>
      </c>
      <c r="C374" s="230" t="s">
        <v>280</v>
      </c>
      <c r="D374" s="251">
        <v>45808</v>
      </c>
      <c r="E374" s="251">
        <v>45808</v>
      </c>
      <c r="F374" s="230" t="s">
        <v>281</v>
      </c>
      <c r="G374" s="230" t="s">
        <v>275</v>
      </c>
      <c r="I374" s="230">
        <v>112</v>
      </c>
      <c r="J374" s="230" t="s">
        <v>276</v>
      </c>
      <c r="K374" s="230">
        <v>1533010002</v>
      </c>
      <c r="T374" s="232">
        <v>-379600</v>
      </c>
      <c r="U374" s="230" t="s">
        <v>277</v>
      </c>
      <c r="AC374" s="229" t="s">
        <v>278</v>
      </c>
      <c r="AF374" s="230">
        <v>20250531</v>
      </c>
      <c r="AI374" s="230">
        <v>20250531</v>
      </c>
      <c r="AK374" s="230">
        <v>8300035647</v>
      </c>
      <c r="AM374" s="230" t="s">
        <v>286</v>
      </c>
      <c r="AO374" s="234">
        <v>0</v>
      </c>
      <c r="AP374" s="232">
        <f t="shared" si="14"/>
        <v>379600</v>
      </c>
      <c r="AQ374" s="230">
        <f t="shared" si="13"/>
        <v>5</v>
      </c>
    </row>
    <row r="375" spans="1:43">
      <c r="A375" s="228">
        <v>1</v>
      </c>
      <c r="B375" s="228" t="s">
        <v>273</v>
      </c>
      <c r="C375" s="230" t="s">
        <v>280</v>
      </c>
      <c r="D375" s="251">
        <v>45808</v>
      </c>
      <c r="E375" s="251">
        <v>45808</v>
      </c>
      <c r="F375" s="230" t="s">
        <v>281</v>
      </c>
      <c r="G375" s="230" t="s">
        <v>275</v>
      </c>
      <c r="I375" s="230">
        <v>113</v>
      </c>
      <c r="J375" s="230" t="s">
        <v>276</v>
      </c>
      <c r="K375" s="230">
        <v>1533010002</v>
      </c>
      <c r="T375" s="232">
        <v>-642628</v>
      </c>
      <c r="U375" s="230" t="s">
        <v>277</v>
      </c>
      <c r="AC375" s="229" t="s">
        <v>278</v>
      </c>
      <c r="AF375" s="230">
        <v>20250531</v>
      </c>
      <c r="AI375" s="230">
        <v>20250531</v>
      </c>
      <c r="AK375" s="230">
        <v>8002514406</v>
      </c>
      <c r="AM375" s="230" t="s">
        <v>283</v>
      </c>
      <c r="AO375" s="234">
        <v>0</v>
      </c>
      <c r="AP375" s="232">
        <f t="shared" si="14"/>
        <v>642628</v>
      </c>
      <c r="AQ375" s="230">
        <f t="shared" si="13"/>
        <v>5</v>
      </c>
    </row>
    <row r="376" spans="1:43">
      <c r="A376" s="228">
        <v>1</v>
      </c>
      <c r="B376" s="228" t="s">
        <v>273</v>
      </c>
      <c r="C376" s="230" t="s">
        <v>280</v>
      </c>
      <c r="D376" s="251">
        <v>45808</v>
      </c>
      <c r="E376" s="251">
        <v>45808</v>
      </c>
      <c r="F376" s="230" t="s">
        <v>281</v>
      </c>
      <c r="G376" s="230" t="s">
        <v>275</v>
      </c>
      <c r="I376" s="230">
        <v>114</v>
      </c>
      <c r="J376" s="230" t="s">
        <v>276</v>
      </c>
      <c r="K376" s="230">
        <v>1533010002</v>
      </c>
      <c r="T376" s="232">
        <v>-491529</v>
      </c>
      <c r="U376" s="230" t="s">
        <v>277</v>
      </c>
      <c r="AC376" s="229" t="s">
        <v>278</v>
      </c>
      <c r="AF376" s="230">
        <v>20250531</v>
      </c>
      <c r="AI376" s="230">
        <v>20250531</v>
      </c>
      <c r="AK376" s="230">
        <v>8002514406</v>
      </c>
      <c r="AM376" s="230" t="s">
        <v>283</v>
      </c>
      <c r="AO376" s="234">
        <v>0</v>
      </c>
      <c r="AP376" s="232">
        <f t="shared" si="14"/>
        <v>491529</v>
      </c>
      <c r="AQ376" s="230">
        <f t="shared" si="13"/>
        <v>5</v>
      </c>
    </row>
    <row r="377" spans="1:43">
      <c r="A377" s="228">
        <v>1</v>
      </c>
      <c r="B377" s="228" t="s">
        <v>273</v>
      </c>
      <c r="C377" s="230" t="s">
        <v>280</v>
      </c>
      <c r="D377" s="251">
        <v>45808</v>
      </c>
      <c r="E377" s="251">
        <v>45808</v>
      </c>
      <c r="F377" s="230" t="s">
        <v>281</v>
      </c>
      <c r="G377" s="230" t="s">
        <v>275</v>
      </c>
      <c r="I377" s="230">
        <v>115</v>
      </c>
      <c r="J377" s="230" t="s">
        <v>276</v>
      </c>
      <c r="K377" s="230">
        <v>1533010002</v>
      </c>
      <c r="T377" s="232">
        <v>-379600</v>
      </c>
      <c r="U377" s="230" t="s">
        <v>277</v>
      </c>
      <c r="AC377" s="229" t="s">
        <v>278</v>
      </c>
      <c r="AF377" s="230">
        <v>20250531</v>
      </c>
      <c r="AI377" s="230">
        <v>20250531</v>
      </c>
      <c r="AK377" s="230">
        <v>8140003371</v>
      </c>
      <c r="AM377" s="230" t="s">
        <v>285</v>
      </c>
      <c r="AO377" s="234">
        <v>0</v>
      </c>
      <c r="AP377" s="232">
        <f t="shared" si="14"/>
        <v>379600</v>
      </c>
      <c r="AQ377" s="230">
        <f t="shared" si="13"/>
        <v>5</v>
      </c>
    </row>
    <row r="378" spans="1:43">
      <c r="A378" s="228">
        <v>1</v>
      </c>
      <c r="B378" s="228" t="s">
        <v>273</v>
      </c>
      <c r="C378" s="230" t="s">
        <v>280</v>
      </c>
      <c r="D378" s="251">
        <v>45808</v>
      </c>
      <c r="E378" s="251">
        <v>45808</v>
      </c>
      <c r="F378" s="230" t="s">
        <v>281</v>
      </c>
      <c r="G378" s="230" t="s">
        <v>275</v>
      </c>
      <c r="I378" s="230">
        <v>116</v>
      </c>
      <c r="J378" s="230" t="s">
        <v>276</v>
      </c>
      <c r="K378" s="230">
        <v>1533010002</v>
      </c>
      <c r="T378" s="232">
        <v>-417799</v>
      </c>
      <c r="U378" s="230" t="s">
        <v>277</v>
      </c>
      <c r="AC378" s="229" t="s">
        <v>278</v>
      </c>
      <c r="AF378" s="230">
        <v>20250531</v>
      </c>
      <c r="AI378" s="230">
        <v>20250531</v>
      </c>
      <c r="AK378" s="230">
        <v>8301138310</v>
      </c>
      <c r="AM378" s="230" t="s">
        <v>287</v>
      </c>
      <c r="AO378" s="234">
        <v>0</v>
      </c>
      <c r="AP378" s="232">
        <f t="shared" si="14"/>
        <v>417799</v>
      </c>
      <c r="AQ378" s="230">
        <f t="shared" si="13"/>
        <v>5</v>
      </c>
    </row>
    <row r="379" spans="1:43">
      <c r="A379" s="228">
        <v>1</v>
      </c>
      <c r="B379" s="228" t="s">
        <v>273</v>
      </c>
      <c r="C379" s="230" t="s">
        <v>280</v>
      </c>
      <c r="D379" s="251">
        <v>45808</v>
      </c>
      <c r="E379" s="251">
        <v>45808</v>
      </c>
      <c r="F379" s="230" t="s">
        <v>281</v>
      </c>
      <c r="G379" s="230" t="s">
        <v>275</v>
      </c>
      <c r="I379" s="230">
        <v>117</v>
      </c>
      <c r="J379" s="230" t="s">
        <v>276</v>
      </c>
      <c r="K379" s="230">
        <v>1533010002</v>
      </c>
      <c r="T379" s="232">
        <v>-11199048</v>
      </c>
      <c r="U379" s="230" t="s">
        <v>277</v>
      </c>
      <c r="AC379" s="229" t="s">
        <v>278</v>
      </c>
      <c r="AF379" s="230">
        <v>20250531</v>
      </c>
      <c r="AI379" s="230">
        <v>20250531</v>
      </c>
      <c r="AK379" s="230">
        <v>8301138310</v>
      </c>
      <c r="AM379" s="230" t="s">
        <v>287</v>
      </c>
      <c r="AO379" s="234">
        <v>0</v>
      </c>
      <c r="AP379" s="232">
        <f t="shared" si="14"/>
        <v>11199048</v>
      </c>
      <c r="AQ379" s="230">
        <f t="shared" si="13"/>
        <v>5</v>
      </c>
    </row>
    <row r="380" spans="1:43">
      <c r="A380" s="228">
        <v>1</v>
      </c>
      <c r="B380" s="228" t="s">
        <v>273</v>
      </c>
      <c r="C380" s="230" t="s">
        <v>280</v>
      </c>
      <c r="D380" s="251">
        <v>45808</v>
      </c>
      <c r="E380" s="251">
        <v>45808</v>
      </c>
      <c r="F380" s="230" t="s">
        <v>281</v>
      </c>
      <c r="G380" s="230" t="s">
        <v>275</v>
      </c>
      <c r="I380" s="230">
        <v>118</v>
      </c>
      <c r="J380" s="230" t="s">
        <v>276</v>
      </c>
      <c r="K380" s="230">
        <v>1533010002</v>
      </c>
      <c r="T380" s="232">
        <v>-616850</v>
      </c>
      <c r="U380" s="230" t="s">
        <v>277</v>
      </c>
      <c r="AC380" s="229" t="s">
        <v>278</v>
      </c>
      <c r="AF380" s="230">
        <v>20250531</v>
      </c>
      <c r="AI380" s="230">
        <v>20250531</v>
      </c>
      <c r="AK380" s="230">
        <v>8002492410</v>
      </c>
      <c r="AM380" s="230" t="s">
        <v>297</v>
      </c>
      <c r="AO380" s="234">
        <v>0</v>
      </c>
      <c r="AP380" s="232">
        <f t="shared" si="14"/>
        <v>616850</v>
      </c>
      <c r="AQ380" s="230">
        <f t="shared" si="13"/>
        <v>5</v>
      </c>
    </row>
    <row r="381" spans="1:43">
      <c r="A381" s="228">
        <v>1</v>
      </c>
      <c r="B381" s="228" t="s">
        <v>273</v>
      </c>
      <c r="C381" s="230" t="s">
        <v>280</v>
      </c>
      <c r="D381" s="251">
        <v>45808</v>
      </c>
      <c r="E381" s="251">
        <v>45808</v>
      </c>
      <c r="F381" s="230" t="s">
        <v>281</v>
      </c>
      <c r="G381" s="230" t="s">
        <v>275</v>
      </c>
      <c r="I381" s="230">
        <v>119</v>
      </c>
      <c r="J381" s="230" t="s">
        <v>276</v>
      </c>
      <c r="K381" s="230">
        <v>1533010002</v>
      </c>
      <c r="T381" s="232">
        <v>-28603962</v>
      </c>
      <c r="U381" s="230" t="s">
        <v>277</v>
      </c>
      <c r="AC381" s="229" t="s">
        <v>278</v>
      </c>
      <c r="AF381" s="230">
        <v>20250531</v>
      </c>
      <c r="AI381" s="230">
        <v>20250531</v>
      </c>
      <c r="AK381" s="230">
        <v>8000887022</v>
      </c>
      <c r="AM381" s="230" t="s">
        <v>292</v>
      </c>
      <c r="AO381" s="234">
        <v>0</v>
      </c>
      <c r="AP381" s="232">
        <f t="shared" si="14"/>
        <v>28603962</v>
      </c>
      <c r="AQ381" s="230">
        <f t="shared" si="13"/>
        <v>5</v>
      </c>
    </row>
    <row r="382" spans="1:43">
      <c r="A382" s="228">
        <v>1</v>
      </c>
      <c r="B382" s="228" t="s">
        <v>273</v>
      </c>
      <c r="C382" s="230" t="s">
        <v>280</v>
      </c>
      <c r="D382" s="251">
        <v>45808</v>
      </c>
      <c r="E382" s="251">
        <v>45808</v>
      </c>
      <c r="F382" s="230" t="s">
        <v>281</v>
      </c>
      <c r="G382" s="230" t="s">
        <v>275</v>
      </c>
      <c r="I382" s="230">
        <v>120</v>
      </c>
      <c r="J382" s="230" t="s">
        <v>276</v>
      </c>
      <c r="K382" s="230">
        <v>1533010002</v>
      </c>
      <c r="T382" s="232">
        <v>-6069798</v>
      </c>
      <c r="U382" s="230" t="s">
        <v>277</v>
      </c>
      <c r="AC382" s="229" t="s">
        <v>278</v>
      </c>
      <c r="AF382" s="230">
        <v>20250531</v>
      </c>
      <c r="AI382" s="230">
        <v>20250531</v>
      </c>
      <c r="AK382" s="230">
        <v>8001309074</v>
      </c>
      <c r="AM382" s="230" t="s">
        <v>305</v>
      </c>
      <c r="AO382" s="234">
        <v>0</v>
      </c>
      <c r="AP382" s="232">
        <f t="shared" si="14"/>
        <v>6069798</v>
      </c>
      <c r="AQ382" s="230">
        <f t="shared" si="13"/>
        <v>5</v>
      </c>
    </row>
    <row r="383" spans="1:43">
      <c r="A383" s="228">
        <v>1</v>
      </c>
      <c r="B383" s="228" t="s">
        <v>273</v>
      </c>
      <c r="C383" s="230" t="s">
        <v>280</v>
      </c>
      <c r="D383" s="251">
        <v>45808</v>
      </c>
      <c r="E383" s="251">
        <v>45808</v>
      </c>
      <c r="F383" s="230" t="s">
        <v>281</v>
      </c>
      <c r="G383" s="230" t="s">
        <v>275</v>
      </c>
      <c r="I383" s="230">
        <v>121</v>
      </c>
      <c r="J383" s="230" t="s">
        <v>276</v>
      </c>
      <c r="K383" s="230">
        <v>1533010002</v>
      </c>
      <c r="T383" s="232">
        <v>-17835355</v>
      </c>
      <c r="U383" s="230" t="s">
        <v>277</v>
      </c>
      <c r="AC383" s="229" t="s">
        <v>278</v>
      </c>
      <c r="AF383" s="230">
        <v>20250531</v>
      </c>
      <c r="AI383" s="230">
        <v>20250531</v>
      </c>
      <c r="AK383" s="230">
        <v>8001309074</v>
      </c>
      <c r="AM383" s="230" t="s">
        <v>305</v>
      </c>
      <c r="AO383" s="234">
        <v>0</v>
      </c>
      <c r="AP383" s="232">
        <f t="shared" si="14"/>
        <v>17835355</v>
      </c>
      <c r="AQ383" s="230">
        <f t="shared" si="13"/>
        <v>5</v>
      </c>
    </row>
    <row r="384" spans="1:43">
      <c r="A384" s="228">
        <v>1</v>
      </c>
      <c r="B384" s="228" t="s">
        <v>273</v>
      </c>
      <c r="C384" s="230" t="s">
        <v>280</v>
      </c>
      <c r="D384" s="251">
        <v>45808</v>
      </c>
      <c r="E384" s="251">
        <v>45808</v>
      </c>
      <c r="F384" s="230" t="s">
        <v>281</v>
      </c>
      <c r="G384" s="230" t="s">
        <v>275</v>
      </c>
      <c r="I384" s="230">
        <v>122</v>
      </c>
      <c r="J384" s="230" t="s">
        <v>276</v>
      </c>
      <c r="K384" s="230">
        <v>1533010002</v>
      </c>
      <c r="T384" s="232">
        <v>-3738454</v>
      </c>
      <c r="U384" s="230" t="s">
        <v>277</v>
      </c>
      <c r="AC384" s="229" t="s">
        <v>278</v>
      </c>
      <c r="AF384" s="230">
        <v>20250531</v>
      </c>
      <c r="AI384" s="230">
        <v>20250531</v>
      </c>
      <c r="AK384" s="230">
        <v>8002514406</v>
      </c>
      <c r="AM384" s="230" t="s">
        <v>283</v>
      </c>
      <c r="AO384" s="234">
        <v>0</v>
      </c>
      <c r="AP384" s="232">
        <f t="shared" si="14"/>
        <v>3738454</v>
      </c>
      <c r="AQ384" s="230">
        <f t="shared" si="13"/>
        <v>5</v>
      </c>
    </row>
    <row r="385" spans="1:43">
      <c r="A385" s="228">
        <v>1</v>
      </c>
      <c r="B385" s="228" t="s">
        <v>273</v>
      </c>
      <c r="C385" s="230" t="s">
        <v>280</v>
      </c>
      <c r="D385" s="251">
        <v>45808</v>
      </c>
      <c r="E385" s="251">
        <v>45808</v>
      </c>
      <c r="F385" s="230" t="s">
        <v>281</v>
      </c>
      <c r="G385" s="230" t="s">
        <v>275</v>
      </c>
      <c r="I385" s="230">
        <v>123</v>
      </c>
      <c r="J385" s="230" t="s">
        <v>276</v>
      </c>
      <c r="K385" s="230">
        <v>1533010002</v>
      </c>
      <c r="T385" s="232">
        <v>-229209</v>
      </c>
      <c r="U385" s="230" t="s">
        <v>277</v>
      </c>
      <c r="AC385" s="229" t="s">
        <v>278</v>
      </c>
      <c r="AF385" s="230">
        <v>20250531</v>
      </c>
      <c r="AI385" s="230">
        <v>20250531</v>
      </c>
      <c r="AK385" s="230">
        <v>8300035647</v>
      </c>
      <c r="AM385" s="230" t="s">
        <v>286</v>
      </c>
      <c r="AO385" s="234">
        <v>0</v>
      </c>
      <c r="AP385" s="232">
        <f t="shared" si="14"/>
        <v>229209</v>
      </c>
      <c r="AQ385" s="230">
        <f t="shared" si="13"/>
        <v>5</v>
      </c>
    </row>
    <row r="386" spans="1:43">
      <c r="A386" s="228">
        <v>1</v>
      </c>
      <c r="B386" s="228" t="s">
        <v>273</v>
      </c>
      <c r="C386" s="230" t="s">
        <v>280</v>
      </c>
      <c r="D386" s="251">
        <v>45808</v>
      </c>
      <c r="E386" s="251">
        <v>45808</v>
      </c>
      <c r="F386" s="230" t="s">
        <v>281</v>
      </c>
      <c r="G386" s="230" t="s">
        <v>275</v>
      </c>
      <c r="I386" s="230">
        <v>124</v>
      </c>
      <c r="J386" s="230" t="s">
        <v>276</v>
      </c>
      <c r="K386" s="230">
        <v>1533010002</v>
      </c>
      <c r="T386" s="232">
        <v>-142350</v>
      </c>
      <c r="U386" s="230" t="s">
        <v>277</v>
      </c>
      <c r="AC386" s="229" t="s">
        <v>278</v>
      </c>
      <c r="AF386" s="230">
        <v>20250531</v>
      </c>
      <c r="AI386" s="230">
        <v>20250531</v>
      </c>
      <c r="AK386" s="230">
        <v>8060083947</v>
      </c>
      <c r="AM386" s="230" t="s">
        <v>293</v>
      </c>
      <c r="AO386" s="234">
        <v>0</v>
      </c>
      <c r="AP386" s="232">
        <f t="shared" si="14"/>
        <v>142350</v>
      </c>
      <c r="AQ386" s="230">
        <f t="shared" si="13"/>
        <v>5</v>
      </c>
    </row>
    <row r="387" spans="1:43">
      <c r="A387" s="228">
        <v>1</v>
      </c>
      <c r="B387" s="228" t="s">
        <v>273</v>
      </c>
      <c r="C387" s="230" t="s">
        <v>280</v>
      </c>
      <c r="D387" s="251">
        <v>45808</v>
      </c>
      <c r="E387" s="251">
        <v>45808</v>
      </c>
      <c r="F387" s="230" t="s">
        <v>281</v>
      </c>
      <c r="G387" s="230" t="s">
        <v>275</v>
      </c>
      <c r="I387" s="230">
        <v>125</v>
      </c>
      <c r="J387" s="230" t="s">
        <v>276</v>
      </c>
      <c r="K387" s="230">
        <v>1533010002</v>
      </c>
      <c r="T387" s="232">
        <v>-191485</v>
      </c>
      <c r="U387" s="230" t="s">
        <v>277</v>
      </c>
      <c r="AC387" s="229" t="s">
        <v>278</v>
      </c>
      <c r="AF387" s="230">
        <v>20250531</v>
      </c>
      <c r="AI387" s="230">
        <v>20250531</v>
      </c>
      <c r="AK387" s="230">
        <v>8002514406</v>
      </c>
      <c r="AM387" s="230" t="s">
        <v>283</v>
      </c>
      <c r="AO387" s="234">
        <v>0</v>
      </c>
      <c r="AP387" s="232">
        <f t="shared" si="14"/>
        <v>191485</v>
      </c>
      <c r="AQ387" s="230">
        <f t="shared" ref="AQ387:AQ450" si="15">+MONTH(D387)</f>
        <v>5</v>
      </c>
    </row>
    <row r="388" spans="1:43">
      <c r="A388" s="228">
        <v>1</v>
      </c>
      <c r="B388" s="228" t="s">
        <v>273</v>
      </c>
      <c r="C388" s="230" t="s">
        <v>280</v>
      </c>
      <c r="D388" s="251">
        <v>45808</v>
      </c>
      <c r="E388" s="251">
        <v>45808</v>
      </c>
      <c r="F388" s="230" t="s">
        <v>281</v>
      </c>
      <c r="G388" s="230" t="s">
        <v>275</v>
      </c>
      <c r="I388" s="230">
        <v>126</v>
      </c>
      <c r="J388" s="230" t="s">
        <v>276</v>
      </c>
      <c r="K388" s="230">
        <v>1533010002</v>
      </c>
      <c r="T388" s="232">
        <v>-650194</v>
      </c>
      <c r="U388" s="230" t="s">
        <v>277</v>
      </c>
      <c r="AC388" s="229" t="s">
        <v>278</v>
      </c>
      <c r="AF388" s="230">
        <v>20250531</v>
      </c>
      <c r="AI388" s="230">
        <v>20250531</v>
      </c>
      <c r="AK388" s="230">
        <v>8600669427</v>
      </c>
      <c r="AM388" s="230" t="s">
        <v>289</v>
      </c>
      <c r="AO388" s="234">
        <v>0</v>
      </c>
      <c r="AP388" s="232">
        <f t="shared" si="14"/>
        <v>650194</v>
      </c>
      <c r="AQ388" s="230">
        <f t="shared" si="15"/>
        <v>5</v>
      </c>
    </row>
    <row r="389" spans="1:43">
      <c r="A389" s="228">
        <v>1</v>
      </c>
      <c r="B389" s="228" t="s">
        <v>273</v>
      </c>
      <c r="C389" s="230" t="s">
        <v>280</v>
      </c>
      <c r="D389" s="251">
        <v>45808</v>
      </c>
      <c r="E389" s="251">
        <v>45808</v>
      </c>
      <c r="F389" s="230" t="s">
        <v>281</v>
      </c>
      <c r="G389" s="230" t="s">
        <v>275</v>
      </c>
      <c r="I389" s="230">
        <v>127</v>
      </c>
      <c r="J389" s="230" t="s">
        <v>276</v>
      </c>
      <c r="K389" s="230">
        <v>1533010002</v>
      </c>
      <c r="T389" s="232">
        <v>-1772722</v>
      </c>
      <c r="U389" s="230" t="s">
        <v>277</v>
      </c>
      <c r="AC389" s="229" t="s">
        <v>278</v>
      </c>
      <c r="AF389" s="230">
        <v>20250531</v>
      </c>
      <c r="AI389" s="230">
        <v>20250531</v>
      </c>
      <c r="AK389" s="230">
        <v>8600021839</v>
      </c>
      <c r="AM389" s="230" t="s">
        <v>288</v>
      </c>
      <c r="AO389" s="234">
        <v>0</v>
      </c>
      <c r="AP389" s="232">
        <f t="shared" si="14"/>
        <v>1772722</v>
      </c>
      <c r="AQ389" s="230">
        <f t="shared" si="15"/>
        <v>5</v>
      </c>
    </row>
    <row r="390" spans="1:43">
      <c r="A390" s="228">
        <v>1</v>
      </c>
      <c r="B390" s="228" t="s">
        <v>273</v>
      </c>
      <c r="C390" s="230" t="s">
        <v>280</v>
      </c>
      <c r="D390" s="251">
        <v>45808</v>
      </c>
      <c r="E390" s="251">
        <v>45808</v>
      </c>
      <c r="F390" s="230" t="s">
        <v>281</v>
      </c>
      <c r="G390" s="230" t="s">
        <v>275</v>
      </c>
      <c r="I390" s="230">
        <v>128</v>
      </c>
      <c r="J390" s="230" t="s">
        <v>276</v>
      </c>
      <c r="K390" s="230">
        <v>1533010002</v>
      </c>
      <c r="T390" s="232">
        <v>-3863977</v>
      </c>
      <c r="U390" s="230" t="s">
        <v>277</v>
      </c>
      <c r="AC390" s="229" t="s">
        <v>278</v>
      </c>
      <c r="AF390" s="230">
        <v>20250531</v>
      </c>
      <c r="AI390" s="230">
        <v>20250531</v>
      </c>
      <c r="AK390" s="230">
        <v>9001562642</v>
      </c>
      <c r="AM390" s="230" t="s">
        <v>316</v>
      </c>
      <c r="AO390" s="234">
        <v>0</v>
      </c>
      <c r="AP390" s="232">
        <f t="shared" si="14"/>
        <v>3863977</v>
      </c>
      <c r="AQ390" s="230">
        <f t="shared" si="15"/>
        <v>5</v>
      </c>
    </row>
    <row r="391" spans="1:43">
      <c r="A391" s="228">
        <v>1</v>
      </c>
      <c r="B391" s="228" t="s">
        <v>273</v>
      </c>
      <c r="C391" s="230" t="s">
        <v>280</v>
      </c>
      <c r="D391" s="251">
        <v>45808</v>
      </c>
      <c r="E391" s="251">
        <v>45808</v>
      </c>
      <c r="F391" s="230" t="s">
        <v>281</v>
      </c>
      <c r="G391" s="230" t="s">
        <v>275</v>
      </c>
      <c r="I391" s="230">
        <v>129</v>
      </c>
      <c r="J391" s="230" t="s">
        <v>276</v>
      </c>
      <c r="K391" s="230">
        <v>1533010002</v>
      </c>
      <c r="T391" s="232">
        <v>-189800</v>
      </c>
      <c r="U391" s="230" t="s">
        <v>277</v>
      </c>
      <c r="AC391" s="229" t="s">
        <v>278</v>
      </c>
      <c r="AF391" s="230">
        <v>20250531</v>
      </c>
      <c r="AI391" s="230">
        <v>20250531</v>
      </c>
      <c r="AK391" s="230">
        <v>8300035647</v>
      </c>
      <c r="AM391" s="230" t="s">
        <v>286</v>
      </c>
      <c r="AO391" s="234">
        <v>0</v>
      </c>
      <c r="AP391" s="232">
        <f t="shared" si="14"/>
        <v>189800</v>
      </c>
      <c r="AQ391" s="230">
        <f t="shared" si="15"/>
        <v>5</v>
      </c>
    </row>
    <row r="392" spans="1:43">
      <c r="A392" s="228">
        <v>1</v>
      </c>
      <c r="B392" s="228" t="s">
        <v>273</v>
      </c>
      <c r="C392" s="230" t="s">
        <v>280</v>
      </c>
      <c r="D392" s="251">
        <v>45808</v>
      </c>
      <c r="E392" s="251">
        <v>45808</v>
      </c>
      <c r="F392" s="230" t="s">
        <v>281</v>
      </c>
      <c r="G392" s="230" t="s">
        <v>275</v>
      </c>
      <c r="I392" s="230">
        <v>130</v>
      </c>
      <c r="J392" s="230" t="s">
        <v>276</v>
      </c>
      <c r="K392" s="230">
        <v>1533010002</v>
      </c>
      <c r="T392" s="232">
        <v>-5371116</v>
      </c>
      <c r="U392" s="230" t="s">
        <v>277</v>
      </c>
      <c r="AC392" s="229" t="s">
        <v>278</v>
      </c>
      <c r="AF392" s="230">
        <v>20250531</v>
      </c>
      <c r="AI392" s="230">
        <v>20250531</v>
      </c>
      <c r="AK392" s="230">
        <v>8000887022</v>
      </c>
      <c r="AM392" s="230" t="s">
        <v>292</v>
      </c>
      <c r="AO392" s="234">
        <v>0</v>
      </c>
      <c r="AP392" s="232">
        <f t="shared" si="14"/>
        <v>5371116</v>
      </c>
      <c r="AQ392" s="230">
        <f t="shared" si="15"/>
        <v>5</v>
      </c>
    </row>
    <row r="393" spans="1:43">
      <c r="A393" s="228">
        <v>1</v>
      </c>
      <c r="B393" s="228" t="s">
        <v>273</v>
      </c>
      <c r="C393" s="230" t="s">
        <v>280</v>
      </c>
      <c r="D393" s="251">
        <v>45808</v>
      </c>
      <c r="E393" s="251">
        <v>45808</v>
      </c>
      <c r="F393" s="230" t="s">
        <v>281</v>
      </c>
      <c r="G393" s="230" t="s">
        <v>275</v>
      </c>
      <c r="I393" s="230">
        <v>131</v>
      </c>
      <c r="J393" s="230" t="s">
        <v>276</v>
      </c>
      <c r="K393" s="230">
        <v>1533010002</v>
      </c>
      <c r="T393" s="232">
        <v>-30625005</v>
      </c>
      <c r="U393" s="230" t="s">
        <v>277</v>
      </c>
      <c r="AC393" s="229" t="s">
        <v>278</v>
      </c>
      <c r="AF393" s="230">
        <v>20250531</v>
      </c>
      <c r="AI393" s="230">
        <v>20250531</v>
      </c>
      <c r="AK393" s="230">
        <v>8000887022</v>
      </c>
      <c r="AM393" s="230" t="s">
        <v>292</v>
      </c>
      <c r="AO393" s="234">
        <v>0</v>
      </c>
      <c r="AP393" s="232">
        <f t="shared" si="14"/>
        <v>30625005</v>
      </c>
      <c r="AQ393" s="230">
        <f t="shared" si="15"/>
        <v>5</v>
      </c>
    </row>
    <row r="394" spans="1:43">
      <c r="A394" s="228">
        <v>1</v>
      </c>
      <c r="B394" s="228" t="s">
        <v>273</v>
      </c>
      <c r="C394" s="230" t="s">
        <v>280</v>
      </c>
      <c r="D394" s="251">
        <v>45808</v>
      </c>
      <c r="E394" s="251">
        <v>45808</v>
      </c>
      <c r="F394" s="230" t="s">
        <v>281</v>
      </c>
      <c r="G394" s="230" t="s">
        <v>275</v>
      </c>
      <c r="I394" s="230">
        <v>132</v>
      </c>
      <c r="J394" s="230" t="s">
        <v>276</v>
      </c>
      <c r="K394" s="230">
        <v>1533010002</v>
      </c>
      <c r="T394" s="232">
        <v>-6869403</v>
      </c>
      <c r="U394" s="230" t="s">
        <v>277</v>
      </c>
      <c r="AC394" s="229" t="s">
        <v>278</v>
      </c>
      <c r="AF394" s="230">
        <v>20250531</v>
      </c>
      <c r="AI394" s="230">
        <v>20250531</v>
      </c>
      <c r="AK394" s="230">
        <v>8002514406</v>
      </c>
      <c r="AM394" s="230" t="s">
        <v>283</v>
      </c>
      <c r="AO394" s="234">
        <v>0</v>
      </c>
      <c r="AP394" s="232">
        <f t="shared" si="14"/>
        <v>6869403</v>
      </c>
      <c r="AQ394" s="230">
        <f t="shared" si="15"/>
        <v>5</v>
      </c>
    </row>
    <row r="395" spans="1:43">
      <c r="A395" s="228">
        <v>1</v>
      </c>
      <c r="B395" s="228" t="s">
        <v>273</v>
      </c>
      <c r="C395" s="230" t="s">
        <v>280</v>
      </c>
      <c r="D395" s="251">
        <v>45808</v>
      </c>
      <c r="E395" s="251">
        <v>45808</v>
      </c>
      <c r="F395" s="230" t="s">
        <v>281</v>
      </c>
      <c r="G395" s="230" t="s">
        <v>275</v>
      </c>
      <c r="I395" s="230">
        <v>133</v>
      </c>
      <c r="J395" s="230" t="s">
        <v>276</v>
      </c>
      <c r="K395" s="230">
        <v>1533010002</v>
      </c>
      <c r="T395" s="232">
        <v>-6211632</v>
      </c>
      <c r="U395" s="230" t="s">
        <v>277</v>
      </c>
      <c r="AC395" s="229" t="s">
        <v>278</v>
      </c>
      <c r="AF395" s="230">
        <v>20250531</v>
      </c>
      <c r="AI395" s="230">
        <v>20250531</v>
      </c>
      <c r="AK395" s="230">
        <v>8002514406</v>
      </c>
      <c r="AM395" s="230" t="s">
        <v>283</v>
      </c>
      <c r="AO395" s="234">
        <v>0</v>
      </c>
      <c r="AP395" s="232">
        <f t="shared" si="14"/>
        <v>6211632</v>
      </c>
      <c r="AQ395" s="230">
        <f t="shared" si="15"/>
        <v>5</v>
      </c>
    </row>
    <row r="396" spans="1:43">
      <c r="A396" s="228">
        <v>1</v>
      </c>
      <c r="B396" s="228" t="s">
        <v>273</v>
      </c>
      <c r="C396" s="230" t="s">
        <v>280</v>
      </c>
      <c r="D396" s="251">
        <v>45808</v>
      </c>
      <c r="E396" s="251">
        <v>45808</v>
      </c>
      <c r="F396" s="230" t="s">
        <v>281</v>
      </c>
      <c r="G396" s="230" t="s">
        <v>275</v>
      </c>
      <c r="I396" s="230">
        <v>134</v>
      </c>
      <c r="J396" s="230" t="s">
        <v>276</v>
      </c>
      <c r="K396" s="230">
        <v>1533010002</v>
      </c>
      <c r="T396" s="232">
        <v>-2847000</v>
      </c>
      <c r="U396" s="230" t="s">
        <v>277</v>
      </c>
      <c r="AC396" s="229" t="s">
        <v>278</v>
      </c>
      <c r="AF396" s="230">
        <v>20250531</v>
      </c>
      <c r="AI396" s="230">
        <v>20250531</v>
      </c>
      <c r="AK396" s="230">
        <v>8600669427</v>
      </c>
      <c r="AM396" s="230" t="s">
        <v>289</v>
      </c>
      <c r="AO396" s="234">
        <v>0</v>
      </c>
      <c r="AP396" s="232">
        <f t="shared" si="14"/>
        <v>2847000</v>
      </c>
      <c r="AQ396" s="230">
        <f t="shared" si="15"/>
        <v>5</v>
      </c>
    </row>
    <row r="397" spans="1:43">
      <c r="A397" s="228">
        <v>1</v>
      </c>
      <c r="B397" s="228" t="s">
        <v>273</v>
      </c>
      <c r="C397" s="230" t="s">
        <v>280</v>
      </c>
      <c r="D397" s="251">
        <v>45808</v>
      </c>
      <c r="E397" s="251">
        <v>45808</v>
      </c>
      <c r="F397" s="230" t="s">
        <v>281</v>
      </c>
      <c r="G397" s="230" t="s">
        <v>275</v>
      </c>
      <c r="I397" s="230">
        <v>135</v>
      </c>
      <c r="J397" s="230" t="s">
        <v>276</v>
      </c>
      <c r="K397" s="230">
        <v>1533010002</v>
      </c>
      <c r="T397" s="232">
        <v>-759200</v>
      </c>
      <c r="U397" s="230" t="s">
        <v>277</v>
      </c>
      <c r="AC397" s="229" t="s">
        <v>278</v>
      </c>
      <c r="AF397" s="230">
        <v>20250531</v>
      </c>
      <c r="AI397" s="230">
        <v>20250531</v>
      </c>
      <c r="AK397" s="230">
        <v>8050011572</v>
      </c>
      <c r="AM397" s="230" t="s">
        <v>284</v>
      </c>
      <c r="AO397" s="234">
        <v>0</v>
      </c>
      <c r="AP397" s="232">
        <f t="shared" ref="AP397:AP403" si="16">+ABS(T397)</f>
        <v>759200</v>
      </c>
      <c r="AQ397" s="230">
        <f t="shared" si="15"/>
        <v>5</v>
      </c>
    </row>
    <row r="398" spans="1:43">
      <c r="A398" s="228">
        <v>1</v>
      </c>
      <c r="B398" s="228" t="s">
        <v>273</v>
      </c>
      <c r="C398" s="230" t="s">
        <v>280</v>
      </c>
      <c r="D398" s="251">
        <v>45808</v>
      </c>
      <c r="E398" s="251">
        <v>45808</v>
      </c>
      <c r="F398" s="230" t="s">
        <v>281</v>
      </c>
      <c r="G398" s="230" t="s">
        <v>275</v>
      </c>
      <c r="I398" s="230">
        <v>136</v>
      </c>
      <c r="J398" s="230" t="s">
        <v>276</v>
      </c>
      <c r="K398" s="230">
        <v>1533010002</v>
      </c>
      <c r="T398" s="232">
        <v>-10587709</v>
      </c>
      <c r="U398" s="230" t="s">
        <v>277</v>
      </c>
      <c r="AC398" s="229" t="s">
        <v>278</v>
      </c>
      <c r="AF398" s="230">
        <v>20250531</v>
      </c>
      <c r="AI398" s="230">
        <v>20250531</v>
      </c>
      <c r="AK398" s="230">
        <v>8002514406</v>
      </c>
      <c r="AM398" s="230" t="s">
        <v>283</v>
      </c>
      <c r="AO398" s="234">
        <v>0</v>
      </c>
      <c r="AP398" s="232">
        <f t="shared" si="16"/>
        <v>10587709</v>
      </c>
      <c r="AQ398" s="230">
        <f t="shared" si="15"/>
        <v>5</v>
      </c>
    </row>
    <row r="399" spans="1:43">
      <c r="A399" s="228">
        <v>1</v>
      </c>
      <c r="B399" s="228" t="s">
        <v>273</v>
      </c>
      <c r="C399" s="230" t="s">
        <v>280</v>
      </c>
      <c r="D399" s="251">
        <v>45808</v>
      </c>
      <c r="E399" s="251">
        <v>45808</v>
      </c>
      <c r="F399" s="230" t="s">
        <v>281</v>
      </c>
      <c r="G399" s="230" t="s">
        <v>275</v>
      </c>
      <c r="I399" s="230">
        <v>137</v>
      </c>
      <c r="J399" s="230" t="s">
        <v>276</v>
      </c>
      <c r="K399" s="230">
        <v>1533010002</v>
      </c>
      <c r="T399" s="232">
        <v>-1613300</v>
      </c>
      <c r="U399" s="230" t="s">
        <v>277</v>
      </c>
      <c r="AC399" s="229" t="s">
        <v>278</v>
      </c>
      <c r="AF399" s="230">
        <v>20250531</v>
      </c>
      <c r="AI399" s="230">
        <v>20250531</v>
      </c>
      <c r="AK399" s="230">
        <v>8300035647</v>
      </c>
      <c r="AM399" s="230" t="s">
        <v>286</v>
      </c>
      <c r="AO399" s="234">
        <v>0</v>
      </c>
      <c r="AP399" s="232">
        <f t="shared" si="16"/>
        <v>1613300</v>
      </c>
      <c r="AQ399" s="230">
        <f t="shared" si="15"/>
        <v>5</v>
      </c>
    </row>
    <row r="400" spans="1:43">
      <c r="A400" s="228">
        <v>1</v>
      </c>
      <c r="B400" s="228" t="s">
        <v>273</v>
      </c>
      <c r="C400" s="230" t="s">
        <v>280</v>
      </c>
      <c r="D400" s="251">
        <v>45808</v>
      </c>
      <c r="E400" s="251">
        <v>45808</v>
      </c>
      <c r="F400" s="230" t="s">
        <v>281</v>
      </c>
      <c r="G400" s="230" t="s">
        <v>275</v>
      </c>
      <c r="I400" s="230">
        <v>138</v>
      </c>
      <c r="J400" s="230" t="s">
        <v>276</v>
      </c>
      <c r="K400" s="230">
        <v>1533010002</v>
      </c>
      <c r="T400" s="232">
        <v>-18682129</v>
      </c>
      <c r="U400" s="230" t="s">
        <v>277</v>
      </c>
      <c r="AC400" s="229" t="s">
        <v>278</v>
      </c>
      <c r="AF400" s="230">
        <v>20250531</v>
      </c>
      <c r="AI400" s="230">
        <v>20250531</v>
      </c>
      <c r="AK400" s="230">
        <v>8002514406</v>
      </c>
      <c r="AM400" s="230" t="s">
        <v>283</v>
      </c>
      <c r="AO400" s="234">
        <v>0</v>
      </c>
      <c r="AP400" s="232">
        <f t="shared" si="16"/>
        <v>18682129</v>
      </c>
      <c r="AQ400" s="230">
        <f t="shared" si="15"/>
        <v>5</v>
      </c>
    </row>
    <row r="401" spans="1:43">
      <c r="A401" s="228">
        <v>1</v>
      </c>
      <c r="B401" s="228" t="s">
        <v>273</v>
      </c>
      <c r="C401" s="230" t="s">
        <v>280</v>
      </c>
      <c r="D401" s="251">
        <v>45808</v>
      </c>
      <c r="E401" s="251">
        <v>45808</v>
      </c>
      <c r="F401" s="230" t="s">
        <v>281</v>
      </c>
      <c r="G401" s="230" t="s">
        <v>275</v>
      </c>
      <c r="I401" s="230">
        <v>139</v>
      </c>
      <c r="J401" s="230" t="s">
        <v>276</v>
      </c>
      <c r="K401" s="230">
        <v>1533010002</v>
      </c>
      <c r="T401" s="232">
        <v>-130002</v>
      </c>
      <c r="U401" s="230" t="s">
        <v>277</v>
      </c>
      <c r="AC401" s="229" t="s">
        <v>278</v>
      </c>
      <c r="AF401" s="230">
        <v>20250531</v>
      </c>
      <c r="AI401" s="230">
        <v>20250531</v>
      </c>
      <c r="AK401" s="230">
        <v>8170002483</v>
      </c>
      <c r="AM401" s="230" t="s">
        <v>311</v>
      </c>
      <c r="AO401" s="234">
        <v>0</v>
      </c>
      <c r="AP401" s="232">
        <f t="shared" si="16"/>
        <v>130002</v>
      </c>
      <c r="AQ401" s="230">
        <f t="shared" si="15"/>
        <v>5</v>
      </c>
    </row>
    <row r="402" spans="1:43">
      <c r="A402" s="228">
        <v>1</v>
      </c>
      <c r="B402" s="228" t="s">
        <v>273</v>
      </c>
      <c r="C402" s="230" t="s">
        <v>280</v>
      </c>
      <c r="D402" s="251">
        <v>45808</v>
      </c>
      <c r="E402" s="251">
        <v>45808</v>
      </c>
      <c r="F402" s="230" t="s">
        <v>281</v>
      </c>
      <c r="G402" s="230" t="s">
        <v>275</v>
      </c>
      <c r="I402" s="230">
        <v>140</v>
      </c>
      <c r="J402" s="230" t="s">
        <v>276</v>
      </c>
      <c r="K402" s="230">
        <v>1533010002</v>
      </c>
      <c r="T402" s="232">
        <v>-5978700</v>
      </c>
      <c r="U402" s="230" t="s">
        <v>277</v>
      </c>
      <c r="AC402" s="229" t="s">
        <v>278</v>
      </c>
      <c r="AF402" s="230">
        <v>20250531</v>
      </c>
      <c r="AI402" s="230">
        <v>20250531</v>
      </c>
      <c r="AK402" s="230">
        <v>9009142541</v>
      </c>
      <c r="AM402" s="230" t="s">
        <v>296</v>
      </c>
      <c r="AO402" s="234">
        <v>0</v>
      </c>
      <c r="AP402" s="232">
        <f t="shared" si="16"/>
        <v>5978700</v>
      </c>
      <c r="AQ402" s="230">
        <f t="shared" si="15"/>
        <v>5</v>
      </c>
    </row>
    <row r="403" spans="1:43">
      <c r="A403" s="228">
        <v>1</v>
      </c>
      <c r="B403" s="228" t="s">
        <v>273</v>
      </c>
      <c r="C403" s="230" t="s">
        <v>280</v>
      </c>
      <c r="D403" s="251">
        <v>45808</v>
      </c>
      <c r="E403" s="251">
        <v>45808</v>
      </c>
      <c r="F403" s="230" t="s">
        <v>281</v>
      </c>
      <c r="G403" s="230" t="s">
        <v>275</v>
      </c>
      <c r="I403" s="230">
        <v>142</v>
      </c>
      <c r="J403" s="230" t="s">
        <v>276</v>
      </c>
      <c r="K403" s="230">
        <v>1533010002</v>
      </c>
      <c r="T403" s="232">
        <v>1284900</v>
      </c>
      <c r="U403" s="230" t="s">
        <v>277</v>
      </c>
      <c r="AC403" s="229" t="s">
        <v>278</v>
      </c>
      <c r="AF403" s="230">
        <v>20250531</v>
      </c>
      <c r="AI403" s="230">
        <v>20250531</v>
      </c>
      <c r="AK403" s="230">
        <v>8600669427</v>
      </c>
      <c r="AM403" s="230" t="s">
        <v>289</v>
      </c>
      <c r="AO403" s="234">
        <v>0</v>
      </c>
      <c r="AP403" s="232">
        <f t="shared" si="16"/>
        <v>1284900</v>
      </c>
      <c r="AQ403" s="230">
        <f t="shared" si="15"/>
        <v>5</v>
      </c>
    </row>
    <row r="404" spans="1:43" ht="14.4">
      <c r="A404" s="252">
        <v>1</v>
      </c>
      <c r="B404" s="252" t="s">
        <v>273</v>
      </c>
      <c r="C404" s="252" t="s">
        <v>280</v>
      </c>
      <c r="D404" s="253">
        <v>45838</v>
      </c>
      <c r="E404" s="253">
        <v>45838</v>
      </c>
      <c r="F404" s="252" t="s">
        <v>281</v>
      </c>
      <c r="G404" s="252" t="s">
        <v>275</v>
      </c>
      <c r="H404" s="252"/>
      <c r="I404" s="252">
        <v>69</v>
      </c>
      <c r="J404" s="252" t="s">
        <v>276</v>
      </c>
      <c r="K404" s="252">
        <v>1533010002</v>
      </c>
      <c r="L404" s="98"/>
      <c r="M404" s="98"/>
      <c r="N404" s="98"/>
      <c r="O404" s="98"/>
      <c r="P404" s="98"/>
      <c r="Q404" s="98"/>
      <c r="R404" s="98"/>
      <c r="S404" s="98"/>
      <c r="T404" s="100">
        <v>-1614606</v>
      </c>
      <c r="U404" s="252" t="s">
        <v>277</v>
      </c>
      <c r="V404" s="98"/>
      <c r="W404" s="98"/>
      <c r="X404" s="98"/>
      <c r="Y404" s="98"/>
      <c r="Z404" s="98"/>
      <c r="AA404" s="98"/>
      <c r="AB404" s="98"/>
      <c r="AC404" s="252" t="s">
        <v>278</v>
      </c>
      <c r="AD404" s="98"/>
      <c r="AE404" s="98"/>
      <c r="AF404" s="98">
        <v>20250630</v>
      </c>
      <c r="AG404" s="98"/>
      <c r="AH404" s="98"/>
      <c r="AI404" s="98">
        <v>20250630</v>
      </c>
      <c r="AJ404" s="98">
        <v>9001562642</v>
      </c>
      <c r="AK404" s="254"/>
      <c r="AL404" s="98"/>
      <c r="AM404" s="252" t="s">
        <v>316</v>
      </c>
      <c r="AO404" s="234" t="s">
        <v>111</v>
      </c>
      <c r="AP404" s="232">
        <f t="shared" ref="AP404:AP467" si="17">+ABS(T404)</f>
        <v>1614606</v>
      </c>
      <c r="AQ404" s="230">
        <f t="shared" si="15"/>
        <v>6</v>
      </c>
    </row>
    <row r="405" spans="1:43" ht="14.4">
      <c r="A405" s="252">
        <v>1</v>
      </c>
      <c r="B405" s="252" t="s">
        <v>273</v>
      </c>
      <c r="C405" s="252" t="s">
        <v>280</v>
      </c>
      <c r="D405" s="253">
        <v>45838</v>
      </c>
      <c r="E405" s="253">
        <v>45838</v>
      </c>
      <c r="F405" s="252" t="s">
        <v>281</v>
      </c>
      <c r="G405" s="252" t="s">
        <v>275</v>
      </c>
      <c r="H405" s="252"/>
      <c r="I405" s="252">
        <v>70</v>
      </c>
      <c r="J405" s="252" t="s">
        <v>276</v>
      </c>
      <c r="K405" s="252">
        <v>1533010002</v>
      </c>
      <c r="L405" s="98"/>
      <c r="M405" s="98"/>
      <c r="N405" s="98"/>
      <c r="O405" s="98"/>
      <c r="P405" s="98"/>
      <c r="Q405" s="98"/>
      <c r="R405" s="98"/>
      <c r="S405" s="98"/>
      <c r="T405" s="100">
        <v>-123818</v>
      </c>
      <c r="U405" s="252" t="s">
        <v>277</v>
      </c>
      <c r="V405" s="98"/>
      <c r="W405" s="98"/>
      <c r="X405" s="98"/>
      <c r="Y405" s="98"/>
      <c r="Z405" s="98"/>
      <c r="AA405" s="98"/>
      <c r="AB405" s="98"/>
      <c r="AC405" s="252" t="s">
        <v>278</v>
      </c>
      <c r="AD405" s="98"/>
      <c r="AE405" s="98"/>
      <c r="AF405" s="98">
        <v>20250630</v>
      </c>
      <c r="AG405" s="98"/>
      <c r="AH405" s="98"/>
      <c r="AI405" s="98">
        <v>20250630</v>
      </c>
      <c r="AJ405" s="98">
        <v>8300035647</v>
      </c>
      <c r="AK405" s="254"/>
      <c r="AL405" s="98"/>
      <c r="AM405" s="252" t="s">
        <v>286</v>
      </c>
      <c r="AO405" s="234" t="s">
        <v>109</v>
      </c>
      <c r="AP405" s="232">
        <f t="shared" si="17"/>
        <v>123818</v>
      </c>
      <c r="AQ405" s="230">
        <f t="shared" si="15"/>
        <v>6</v>
      </c>
    </row>
    <row r="406" spans="1:43" ht="14.4">
      <c r="A406" s="252">
        <v>1</v>
      </c>
      <c r="B406" s="252" t="s">
        <v>273</v>
      </c>
      <c r="C406" s="252" t="s">
        <v>280</v>
      </c>
      <c r="D406" s="253">
        <v>45838</v>
      </c>
      <c r="E406" s="253">
        <v>45838</v>
      </c>
      <c r="F406" s="252" t="s">
        <v>281</v>
      </c>
      <c r="G406" s="252" t="s">
        <v>275</v>
      </c>
      <c r="H406" s="252"/>
      <c r="I406" s="252">
        <v>71</v>
      </c>
      <c r="J406" s="252" t="s">
        <v>276</v>
      </c>
      <c r="K406" s="252">
        <v>1533010002</v>
      </c>
      <c r="L406" s="98"/>
      <c r="M406" s="98"/>
      <c r="N406" s="98"/>
      <c r="O406" s="98"/>
      <c r="P406" s="98"/>
      <c r="Q406" s="98"/>
      <c r="R406" s="98"/>
      <c r="S406" s="98"/>
      <c r="T406" s="100">
        <v>-1158399</v>
      </c>
      <c r="U406" s="252" t="s">
        <v>277</v>
      </c>
      <c r="V406" s="98"/>
      <c r="W406" s="98"/>
      <c r="X406" s="98"/>
      <c r="Y406" s="98"/>
      <c r="Z406" s="98"/>
      <c r="AA406" s="98"/>
      <c r="AB406" s="98"/>
      <c r="AC406" s="252" t="s">
        <v>278</v>
      </c>
      <c r="AD406" s="98"/>
      <c r="AE406" s="98"/>
      <c r="AF406" s="98">
        <v>20250630</v>
      </c>
      <c r="AG406" s="98"/>
      <c r="AH406" s="98"/>
      <c r="AI406" s="98">
        <v>20250630</v>
      </c>
      <c r="AJ406" s="98">
        <v>8002514406</v>
      </c>
      <c r="AK406" s="254"/>
      <c r="AL406" s="98"/>
      <c r="AM406" s="252" t="s">
        <v>283</v>
      </c>
      <c r="AO406" s="234" t="s">
        <v>115</v>
      </c>
      <c r="AP406" s="232">
        <f t="shared" si="17"/>
        <v>1158399</v>
      </c>
      <c r="AQ406" s="230">
        <f t="shared" si="15"/>
        <v>6</v>
      </c>
    </row>
    <row r="407" spans="1:43" ht="14.4">
      <c r="A407" s="252">
        <v>1</v>
      </c>
      <c r="B407" s="252" t="s">
        <v>273</v>
      </c>
      <c r="C407" s="252" t="s">
        <v>280</v>
      </c>
      <c r="D407" s="253">
        <v>45838</v>
      </c>
      <c r="E407" s="253">
        <v>45838</v>
      </c>
      <c r="F407" s="252" t="s">
        <v>281</v>
      </c>
      <c r="G407" s="252" t="s">
        <v>275</v>
      </c>
      <c r="H407" s="252"/>
      <c r="I407" s="252">
        <v>72</v>
      </c>
      <c r="J407" s="252" t="s">
        <v>276</v>
      </c>
      <c r="K407" s="252">
        <v>1533010002</v>
      </c>
      <c r="L407" s="98"/>
      <c r="M407" s="98"/>
      <c r="N407" s="98"/>
      <c r="O407" s="98"/>
      <c r="P407" s="98"/>
      <c r="Q407" s="98"/>
      <c r="R407" s="98"/>
      <c r="S407" s="98"/>
      <c r="T407" s="100">
        <v>-9056481</v>
      </c>
      <c r="U407" s="252" t="s">
        <v>277</v>
      </c>
      <c r="V407" s="98"/>
      <c r="W407" s="98"/>
      <c r="X407" s="98"/>
      <c r="Y407" s="98"/>
      <c r="Z407" s="98"/>
      <c r="AA407" s="98"/>
      <c r="AB407" s="98"/>
      <c r="AC407" s="252" t="s">
        <v>278</v>
      </c>
      <c r="AD407" s="98"/>
      <c r="AE407" s="98"/>
      <c r="AF407" s="98">
        <v>20250630</v>
      </c>
      <c r="AG407" s="98"/>
      <c r="AH407" s="98"/>
      <c r="AI407" s="98">
        <v>20250630</v>
      </c>
      <c r="AJ407" s="98">
        <v>8002514406</v>
      </c>
      <c r="AK407" s="254"/>
      <c r="AL407" s="98"/>
      <c r="AM407" s="252" t="s">
        <v>283</v>
      </c>
      <c r="AO407" s="234" t="s">
        <v>115</v>
      </c>
      <c r="AP407" s="232">
        <f t="shared" si="17"/>
        <v>9056481</v>
      </c>
      <c r="AQ407" s="230">
        <f t="shared" si="15"/>
        <v>6</v>
      </c>
    </row>
    <row r="408" spans="1:43" ht="14.4">
      <c r="A408" s="252">
        <v>1</v>
      </c>
      <c r="B408" s="252" t="s">
        <v>273</v>
      </c>
      <c r="C408" s="252" t="s">
        <v>280</v>
      </c>
      <c r="D408" s="253">
        <v>45838</v>
      </c>
      <c r="E408" s="253">
        <v>45838</v>
      </c>
      <c r="F408" s="252" t="s">
        <v>281</v>
      </c>
      <c r="G408" s="252" t="s">
        <v>275</v>
      </c>
      <c r="H408" s="252"/>
      <c r="I408" s="252">
        <v>73</v>
      </c>
      <c r="J408" s="252" t="s">
        <v>276</v>
      </c>
      <c r="K408" s="252">
        <v>1533010002</v>
      </c>
      <c r="L408" s="98"/>
      <c r="M408" s="98"/>
      <c r="N408" s="98"/>
      <c r="O408" s="98"/>
      <c r="P408" s="98"/>
      <c r="Q408" s="98"/>
      <c r="R408" s="98"/>
      <c r="S408" s="98"/>
      <c r="T408" s="100">
        <v>-43735947</v>
      </c>
      <c r="U408" s="252" t="s">
        <v>277</v>
      </c>
      <c r="V408" s="98"/>
      <c r="W408" s="98"/>
      <c r="X408" s="98"/>
      <c r="Y408" s="98"/>
      <c r="Z408" s="98"/>
      <c r="AA408" s="98"/>
      <c r="AB408" s="98"/>
      <c r="AC408" s="252" t="s">
        <v>278</v>
      </c>
      <c r="AD408" s="98"/>
      <c r="AE408" s="98"/>
      <c r="AF408" s="98">
        <v>20250630</v>
      </c>
      <c r="AG408" s="98"/>
      <c r="AH408" s="98"/>
      <c r="AI408" s="98">
        <v>20250630</v>
      </c>
      <c r="AJ408" s="98">
        <v>8001309074</v>
      </c>
      <c r="AK408" s="254"/>
      <c r="AL408" s="98"/>
      <c r="AM408" s="252" t="s">
        <v>305</v>
      </c>
      <c r="AO408" s="234">
        <v>0</v>
      </c>
      <c r="AP408" s="232">
        <f t="shared" si="17"/>
        <v>43735947</v>
      </c>
      <c r="AQ408" s="230">
        <f t="shared" si="15"/>
        <v>6</v>
      </c>
    </row>
    <row r="409" spans="1:43" ht="14.4">
      <c r="A409" s="252">
        <v>1</v>
      </c>
      <c r="B409" s="252" t="s">
        <v>273</v>
      </c>
      <c r="C409" s="252" t="s">
        <v>280</v>
      </c>
      <c r="D409" s="253">
        <v>45838</v>
      </c>
      <c r="E409" s="253">
        <v>45838</v>
      </c>
      <c r="F409" s="252" t="s">
        <v>281</v>
      </c>
      <c r="G409" s="252" t="s">
        <v>275</v>
      </c>
      <c r="H409" s="252"/>
      <c r="I409" s="252">
        <v>74</v>
      </c>
      <c r="J409" s="252" t="s">
        <v>276</v>
      </c>
      <c r="K409" s="252">
        <v>1533010002</v>
      </c>
      <c r="L409" s="98"/>
      <c r="M409" s="98"/>
      <c r="N409" s="98"/>
      <c r="O409" s="98"/>
      <c r="P409" s="98"/>
      <c r="Q409" s="98"/>
      <c r="R409" s="98"/>
      <c r="S409" s="98"/>
      <c r="T409" s="100">
        <v>-332150</v>
      </c>
      <c r="U409" s="252" t="s">
        <v>277</v>
      </c>
      <c r="V409" s="98"/>
      <c r="W409" s="98"/>
      <c r="X409" s="98"/>
      <c r="Y409" s="98"/>
      <c r="Z409" s="98"/>
      <c r="AA409" s="98"/>
      <c r="AB409" s="98"/>
      <c r="AC409" s="252" t="s">
        <v>278</v>
      </c>
      <c r="AD409" s="98"/>
      <c r="AE409" s="98"/>
      <c r="AF409" s="98">
        <v>20250630</v>
      </c>
      <c r="AG409" s="98"/>
      <c r="AH409" s="98"/>
      <c r="AI409" s="98">
        <v>20250630</v>
      </c>
      <c r="AJ409" s="98">
        <v>8060083947</v>
      </c>
      <c r="AK409" s="254"/>
      <c r="AL409" s="98"/>
      <c r="AM409" s="252" t="s">
        <v>298</v>
      </c>
      <c r="AO409" s="234">
        <v>0</v>
      </c>
      <c r="AP409" s="232">
        <f t="shared" si="17"/>
        <v>332150</v>
      </c>
      <c r="AQ409" s="230">
        <f t="shared" si="15"/>
        <v>6</v>
      </c>
    </row>
    <row r="410" spans="1:43" ht="14.4">
      <c r="A410" s="252">
        <v>1</v>
      </c>
      <c r="B410" s="252" t="s">
        <v>273</v>
      </c>
      <c r="C410" s="252" t="s">
        <v>280</v>
      </c>
      <c r="D410" s="253">
        <v>45838</v>
      </c>
      <c r="E410" s="253">
        <v>45838</v>
      </c>
      <c r="F410" s="252" t="s">
        <v>281</v>
      </c>
      <c r="G410" s="252" t="s">
        <v>275</v>
      </c>
      <c r="H410" s="252"/>
      <c r="I410" s="252">
        <v>75</v>
      </c>
      <c r="J410" s="252" t="s">
        <v>276</v>
      </c>
      <c r="K410" s="252">
        <v>1533010002</v>
      </c>
      <c r="L410" s="98"/>
      <c r="M410" s="98"/>
      <c r="N410" s="98"/>
      <c r="O410" s="98"/>
      <c r="P410" s="98"/>
      <c r="Q410" s="98"/>
      <c r="R410" s="98"/>
      <c r="S410" s="98"/>
      <c r="T410" s="100">
        <v>-725322</v>
      </c>
      <c r="U410" s="252" t="s">
        <v>277</v>
      </c>
      <c r="V410" s="98"/>
      <c r="W410" s="98"/>
      <c r="X410" s="98"/>
      <c r="Y410" s="98"/>
      <c r="Z410" s="98"/>
      <c r="AA410" s="98"/>
      <c r="AB410" s="98"/>
      <c r="AC410" s="252" t="s">
        <v>278</v>
      </c>
      <c r="AD410" s="98"/>
      <c r="AE410" s="98"/>
      <c r="AF410" s="98">
        <v>20250630</v>
      </c>
      <c r="AG410" s="98"/>
      <c r="AH410" s="98"/>
      <c r="AI410" s="98">
        <v>20250630</v>
      </c>
      <c r="AJ410" s="98">
        <v>8002492410</v>
      </c>
      <c r="AK410" s="254"/>
      <c r="AL410" s="98"/>
      <c r="AM410" s="252" t="s">
        <v>297</v>
      </c>
      <c r="AO410" s="234">
        <v>0</v>
      </c>
      <c r="AP410" s="232">
        <f t="shared" si="17"/>
        <v>725322</v>
      </c>
      <c r="AQ410" s="230">
        <f t="shared" si="15"/>
        <v>6</v>
      </c>
    </row>
    <row r="411" spans="1:43" ht="14.4">
      <c r="A411" s="252">
        <v>1</v>
      </c>
      <c r="B411" s="252" t="s">
        <v>273</v>
      </c>
      <c r="C411" s="252" t="s">
        <v>280</v>
      </c>
      <c r="D411" s="253">
        <v>45838</v>
      </c>
      <c r="E411" s="253">
        <v>45838</v>
      </c>
      <c r="F411" s="252" t="s">
        <v>281</v>
      </c>
      <c r="G411" s="252" t="s">
        <v>275</v>
      </c>
      <c r="H411" s="252"/>
      <c r="I411" s="252">
        <v>76</v>
      </c>
      <c r="J411" s="252" t="s">
        <v>276</v>
      </c>
      <c r="K411" s="252">
        <v>1533010002</v>
      </c>
      <c r="L411" s="98"/>
      <c r="M411" s="98"/>
      <c r="N411" s="98"/>
      <c r="O411" s="98"/>
      <c r="P411" s="98"/>
      <c r="Q411" s="98"/>
      <c r="R411" s="98"/>
      <c r="S411" s="98"/>
      <c r="T411" s="100">
        <v>-48447</v>
      </c>
      <c r="U411" s="252" t="s">
        <v>277</v>
      </c>
      <c r="V411" s="98"/>
      <c r="W411" s="98"/>
      <c r="X411" s="98"/>
      <c r="Y411" s="98"/>
      <c r="Z411" s="98"/>
      <c r="AA411" s="98"/>
      <c r="AB411" s="98"/>
      <c r="AC411" s="252" t="s">
        <v>278</v>
      </c>
      <c r="AD411" s="98"/>
      <c r="AE411" s="98"/>
      <c r="AF411" s="98">
        <v>20250630</v>
      </c>
      <c r="AG411" s="98"/>
      <c r="AH411" s="98"/>
      <c r="AI411" s="98">
        <v>20250630</v>
      </c>
      <c r="AJ411" s="98">
        <v>8002514406</v>
      </c>
      <c r="AK411" s="254"/>
      <c r="AL411" s="98"/>
      <c r="AM411" s="252" t="s">
        <v>283</v>
      </c>
      <c r="AO411" s="234" t="s">
        <v>115</v>
      </c>
      <c r="AP411" s="232">
        <f t="shared" si="17"/>
        <v>48447</v>
      </c>
      <c r="AQ411" s="230">
        <f t="shared" si="15"/>
        <v>6</v>
      </c>
    </row>
    <row r="412" spans="1:43" ht="14.4">
      <c r="A412" s="252">
        <v>1</v>
      </c>
      <c r="B412" s="252" t="s">
        <v>273</v>
      </c>
      <c r="C412" s="252" t="s">
        <v>280</v>
      </c>
      <c r="D412" s="253">
        <v>45838</v>
      </c>
      <c r="E412" s="253">
        <v>45838</v>
      </c>
      <c r="F412" s="252" t="s">
        <v>281</v>
      </c>
      <c r="G412" s="252" t="s">
        <v>275</v>
      </c>
      <c r="H412" s="252"/>
      <c r="I412" s="252">
        <v>77</v>
      </c>
      <c r="J412" s="252" t="s">
        <v>276</v>
      </c>
      <c r="K412" s="252">
        <v>1533010002</v>
      </c>
      <c r="L412" s="98"/>
      <c r="M412" s="98"/>
      <c r="N412" s="98"/>
      <c r="O412" s="98"/>
      <c r="P412" s="98"/>
      <c r="Q412" s="98"/>
      <c r="R412" s="98"/>
      <c r="S412" s="98"/>
      <c r="T412" s="100">
        <v>-142350</v>
      </c>
      <c r="U412" s="252" t="s">
        <v>277</v>
      </c>
      <c r="V412" s="98"/>
      <c r="W412" s="98"/>
      <c r="X412" s="98"/>
      <c r="Y412" s="98"/>
      <c r="Z412" s="98"/>
      <c r="AA412" s="98"/>
      <c r="AB412" s="98"/>
      <c r="AC412" s="252" t="s">
        <v>278</v>
      </c>
      <c r="AD412" s="98"/>
      <c r="AE412" s="98"/>
      <c r="AF412" s="98">
        <v>20250630</v>
      </c>
      <c r="AG412" s="98"/>
      <c r="AH412" s="98"/>
      <c r="AI412" s="98">
        <v>20250630</v>
      </c>
      <c r="AJ412" s="98">
        <v>8060083947</v>
      </c>
      <c r="AK412" s="254"/>
      <c r="AL412" s="98"/>
      <c r="AM412" s="252" t="s">
        <v>298</v>
      </c>
      <c r="AO412" s="234">
        <v>0</v>
      </c>
      <c r="AP412" s="232">
        <f t="shared" si="17"/>
        <v>142350</v>
      </c>
      <c r="AQ412" s="230">
        <f t="shared" si="15"/>
        <v>6</v>
      </c>
    </row>
    <row r="413" spans="1:43" ht="14.4">
      <c r="A413" s="252">
        <v>1</v>
      </c>
      <c r="B413" s="252" t="s">
        <v>273</v>
      </c>
      <c r="C413" s="252" t="s">
        <v>280</v>
      </c>
      <c r="D413" s="253">
        <v>45838</v>
      </c>
      <c r="E413" s="253">
        <v>45838</v>
      </c>
      <c r="F413" s="252" t="s">
        <v>281</v>
      </c>
      <c r="G413" s="252" t="s">
        <v>275</v>
      </c>
      <c r="H413" s="252"/>
      <c r="I413" s="252">
        <v>78</v>
      </c>
      <c r="J413" s="252" t="s">
        <v>276</v>
      </c>
      <c r="K413" s="252">
        <v>1533010002</v>
      </c>
      <c r="L413" s="98"/>
      <c r="M413" s="98"/>
      <c r="N413" s="98"/>
      <c r="O413" s="98"/>
      <c r="P413" s="98"/>
      <c r="Q413" s="98"/>
      <c r="R413" s="98"/>
      <c r="S413" s="98"/>
      <c r="T413" s="100">
        <v>-47450</v>
      </c>
      <c r="U413" s="252" t="s">
        <v>277</v>
      </c>
      <c r="V413" s="98"/>
      <c r="W413" s="98"/>
      <c r="X413" s="98"/>
      <c r="Y413" s="98"/>
      <c r="Z413" s="98"/>
      <c r="AA413" s="98"/>
      <c r="AB413" s="98"/>
      <c r="AC413" s="252" t="s">
        <v>278</v>
      </c>
      <c r="AD413" s="98"/>
      <c r="AE413" s="98"/>
      <c r="AF413" s="98">
        <v>20250630</v>
      </c>
      <c r="AG413" s="98"/>
      <c r="AH413" s="98"/>
      <c r="AI413" s="98">
        <v>20250630</v>
      </c>
      <c r="AJ413" s="98">
        <v>8002492410</v>
      </c>
      <c r="AK413" s="254"/>
      <c r="AL413" s="98"/>
      <c r="AM413" s="252" t="s">
        <v>297</v>
      </c>
      <c r="AO413" s="234">
        <v>0</v>
      </c>
      <c r="AP413" s="232">
        <f t="shared" si="17"/>
        <v>47450</v>
      </c>
      <c r="AQ413" s="230">
        <f t="shared" si="15"/>
        <v>6</v>
      </c>
    </row>
    <row r="414" spans="1:43" ht="14.4">
      <c r="A414" s="252">
        <v>1</v>
      </c>
      <c r="B414" s="252" t="s">
        <v>273</v>
      </c>
      <c r="C414" s="252" t="s">
        <v>280</v>
      </c>
      <c r="D414" s="253">
        <v>45838</v>
      </c>
      <c r="E414" s="253">
        <v>45838</v>
      </c>
      <c r="F414" s="252" t="s">
        <v>281</v>
      </c>
      <c r="G414" s="252" t="s">
        <v>275</v>
      </c>
      <c r="H414" s="252"/>
      <c r="I414" s="252">
        <v>79</v>
      </c>
      <c r="J414" s="252" t="s">
        <v>276</v>
      </c>
      <c r="K414" s="252">
        <v>1533010002</v>
      </c>
      <c r="L414" s="98"/>
      <c r="M414" s="98"/>
      <c r="N414" s="98"/>
      <c r="O414" s="98"/>
      <c r="P414" s="98"/>
      <c r="Q414" s="98"/>
      <c r="R414" s="98"/>
      <c r="S414" s="98"/>
      <c r="T414" s="100">
        <v>-1800920</v>
      </c>
      <c r="U414" s="252" t="s">
        <v>277</v>
      </c>
      <c r="V414" s="98"/>
      <c r="W414" s="98"/>
      <c r="X414" s="98"/>
      <c r="Y414" s="98"/>
      <c r="Z414" s="98"/>
      <c r="AA414" s="98"/>
      <c r="AB414" s="98"/>
      <c r="AC414" s="252" t="s">
        <v>278</v>
      </c>
      <c r="AD414" s="98"/>
      <c r="AE414" s="98"/>
      <c r="AF414" s="98">
        <v>20250630</v>
      </c>
      <c r="AG414" s="98"/>
      <c r="AH414" s="98"/>
      <c r="AI414" s="98">
        <v>20250630</v>
      </c>
      <c r="AJ414" s="98">
        <v>8002514406</v>
      </c>
      <c r="AK414" s="254"/>
      <c r="AL414" s="98"/>
      <c r="AM414" s="252" t="s">
        <v>283</v>
      </c>
      <c r="AO414" s="234" t="s">
        <v>115</v>
      </c>
      <c r="AP414" s="232">
        <f t="shared" si="17"/>
        <v>1800920</v>
      </c>
      <c r="AQ414" s="230">
        <f t="shared" si="15"/>
        <v>6</v>
      </c>
    </row>
    <row r="415" spans="1:43" ht="14.4">
      <c r="A415" s="252">
        <v>1</v>
      </c>
      <c r="B415" s="252" t="s">
        <v>273</v>
      </c>
      <c r="C415" s="252" t="s">
        <v>280</v>
      </c>
      <c r="D415" s="253">
        <v>45838</v>
      </c>
      <c r="E415" s="253">
        <v>45838</v>
      </c>
      <c r="F415" s="252" t="s">
        <v>281</v>
      </c>
      <c r="G415" s="252" t="s">
        <v>275</v>
      </c>
      <c r="H415" s="252"/>
      <c r="I415" s="252">
        <v>80</v>
      </c>
      <c r="J415" s="252" t="s">
        <v>276</v>
      </c>
      <c r="K415" s="252">
        <v>1533010002</v>
      </c>
      <c r="L415" s="98"/>
      <c r="M415" s="98"/>
      <c r="N415" s="98"/>
      <c r="O415" s="98"/>
      <c r="P415" s="98"/>
      <c r="Q415" s="98"/>
      <c r="R415" s="98"/>
      <c r="S415" s="98"/>
      <c r="T415" s="100">
        <v>-142350</v>
      </c>
      <c r="U415" s="252" t="s">
        <v>277</v>
      </c>
      <c r="V415" s="98"/>
      <c r="W415" s="98"/>
      <c r="X415" s="98"/>
      <c r="Y415" s="98"/>
      <c r="Z415" s="98"/>
      <c r="AA415" s="98"/>
      <c r="AB415" s="98"/>
      <c r="AC415" s="252" t="s">
        <v>278</v>
      </c>
      <c r="AD415" s="98"/>
      <c r="AE415" s="98"/>
      <c r="AF415" s="98">
        <v>20250630</v>
      </c>
      <c r="AG415" s="98"/>
      <c r="AH415" s="98"/>
      <c r="AI415" s="98">
        <v>20250630</v>
      </c>
      <c r="AJ415" s="98">
        <v>8002492410</v>
      </c>
      <c r="AK415" s="254"/>
      <c r="AL415" s="98"/>
      <c r="AM415" s="252" t="s">
        <v>297</v>
      </c>
      <c r="AO415" s="234">
        <v>0</v>
      </c>
      <c r="AP415" s="232">
        <f t="shared" si="17"/>
        <v>142350</v>
      </c>
      <c r="AQ415" s="230">
        <f t="shared" si="15"/>
        <v>6</v>
      </c>
    </row>
    <row r="416" spans="1:43" ht="14.4">
      <c r="A416" s="252">
        <v>1</v>
      </c>
      <c r="B416" s="252" t="s">
        <v>273</v>
      </c>
      <c r="C416" s="252" t="s">
        <v>280</v>
      </c>
      <c r="D416" s="253">
        <v>45838</v>
      </c>
      <c r="E416" s="253">
        <v>45838</v>
      </c>
      <c r="F416" s="252" t="s">
        <v>281</v>
      </c>
      <c r="G416" s="252" t="s">
        <v>275</v>
      </c>
      <c r="H416" s="252"/>
      <c r="I416" s="252">
        <v>81</v>
      </c>
      <c r="J416" s="252" t="s">
        <v>276</v>
      </c>
      <c r="K416" s="252">
        <v>1533010002</v>
      </c>
      <c r="L416" s="98"/>
      <c r="M416" s="98"/>
      <c r="N416" s="98"/>
      <c r="O416" s="98"/>
      <c r="P416" s="98"/>
      <c r="Q416" s="98"/>
      <c r="R416" s="98"/>
      <c r="S416" s="98"/>
      <c r="T416" s="100">
        <v>-6020200</v>
      </c>
      <c r="U416" s="252" t="s">
        <v>277</v>
      </c>
      <c r="V416" s="98"/>
      <c r="W416" s="98"/>
      <c r="X416" s="98"/>
      <c r="Y416" s="98"/>
      <c r="Z416" s="98"/>
      <c r="AA416" s="98"/>
      <c r="AB416" s="98"/>
      <c r="AC416" s="252" t="s">
        <v>278</v>
      </c>
      <c r="AD416" s="98"/>
      <c r="AE416" s="98"/>
      <c r="AF416" s="98">
        <v>20250630</v>
      </c>
      <c r="AG416" s="98"/>
      <c r="AH416" s="98"/>
      <c r="AI416" s="98">
        <v>20250630</v>
      </c>
      <c r="AJ416" s="98">
        <v>8600021839</v>
      </c>
      <c r="AK416" s="254"/>
      <c r="AL416" s="98"/>
      <c r="AM416" s="252" t="s">
        <v>288</v>
      </c>
      <c r="AO416" s="234">
        <v>0</v>
      </c>
      <c r="AP416" s="232">
        <f t="shared" si="17"/>
        <v>6020200</v>
      </c>
      <c r="AQ416" s="230">
        <f t="shared" si="15"/>
        <v>6</v>
      </c>
    </row>
    <row r="417" spans="1:43" ht="14.4">
      <c r="A417" s="252">
        <v>1</v>
      </c>
      <c r="B417" s="252" t="s">
        <v>273</v>
      </c>
      <c r="C417" s="252" t="s">
        <v>280</v>
      </c>
      <c r="D417" s="253">
        <v>45838</v>
      </c>
      <c r="E417" s="253">
        <v>45838</v>
      </c>
      <c r="F417" s="252" t="s">
        <v>281</v>
      </c>
      <c r="G417" s="252" t="s">
        <v>275</v>
      </c>
      <c r="H417" s="252"/>
      <c r="I417" s="252">
        <v>82</v>
      </c>
      <c r="J417" s="252" t="s">
        <v>276</v>
      </c>
      <c r="K417" s="252">
        <v>1533010002</v>
      </c>
      <c r="L417" s="98"/>
      <c r="M417" s="98"/>
      <c r="N417" s="98"/>
      <c r="O417" s="98"/>
      <c r="P417" s="98"/>
      <c r="Q417" s="98"/>
      <c r="R417" s="98"/>
      <c r="S417" s="98"/>
      <c r="T417" s="100">
        <v>-18200422</v>
      </c>
      <c r="U417" s="252" t="s">
        <v>277</v>
      </c>
      <c r="V417" s="98"/>
      <c r="W417" s="98"/>
      <c r="X417" s="98"/>
      <c r="Y417" s="98"/>
      <c r="Z417" s="98"/>
      <c r="AA417" s="98"/>
      <c r="AB417" s="98"/>
      <c r="AC417" s="252" t="s">
        <v>278</v>
      </c>
      <c r="AD417" s="98"/>
      <c r="AE417" s="98"/>
      <c r="AF417" s="98">
        <v>20250630</v>
      </c>
      <c r="AG417" s="98"/>
      <c r="AH417" s="98"/>
      <c r="AI417" s="98">
        <v>20250630</v>
      </c>
      <c r="AJ417" s="98">
        <v>8000887022</v>
      </c>
      <c r="AK417" s="254"/>
      <c r="AL417" s="98"/>
      <c r="AM417" s="252" t="s">
        <v>292</v>
      </c>
      <c r="AO417" s="234" t="s">
        <v>108</v>
      </c>
      <c r="AP417" s="232">
        <f t="shared" si="17"/>
        <v>18200422</v>
      </c>
      <c r="AQ417" s="230">
        <f t="shared" si="15"/>
        <v>6</v>
      </c>
    </row>
    <row r="418" spans="1:43" ht="14.4">
      <c r="A418" s="252">
        <v>1</v>
      </c>
      <c r="B418" s="252" t="s">
        <v>273</v>
      </c>
      <c r="C418" s="252" t="s">
        <v>280</v>
      </c>
      <c r="D418" s="253">
        <v>45838</v>
      </c>
      <c r="E418" s="253">
        <v>45838</v>
      </c>
      <c r="F418" s="252" t="s">
        <v>281</v>
      </c>
      <c r="G418" s="252" t="s">
        <v>275</v>
      </c>
      <c r="H418" s="252"/>
      <c r="I418" s="252">
        <v>83</v>
      </c>
      <c r="J418" s="252" t="s">
        <v>276</v>
      </c>
      <c r="K418" s="252">
        <v>1533010002</v>
      </c>
      <c r="L418" s="98"/>
      <c r="M418" s="98"/>
      <c r="N418" s="98"/>
      <c r="O418" s="98"/>
      <c r="P418" s="98"/>
      <c r="Q418" s="98"/>
      <c r="R418" s="98"/>
      <c r="S418" s="98"/>
      <c r="T418" s="100">
        <v>-9935330</v>
      </c>
      <c r="U418" s="252" t="s">
        <v>277</v>
      </c>
      <c r="V418" s="98"/>
      <c r="W418" s="98"/>
      <c r="X418" s="98"/>
      <c r="Y418" s="98"/>
      <c r="Z418" s="98"/>
      <c r="AA418" s="98"/>
      <c r="AB418" s="98"/>
      <c r="AC418" s="252" t="s">
        <v>278</v>
      </c>
      <c r="AD418" s="98"/>
      <c r="AE418" s="98"/>
      <c r="AF418" s="98">
        <v>20250630</v>
      </c>
      <c r="AG418" s="98"/>
      <c r="AH418" s="98"/>
      <c r="AI418" s="98">
        <v>20250630</v>
      </c>
      <c r="AJ418" s="98">
        <v>8002514406</v>
      </c>
      <c r="AK418" s="254"/>
      <c r="AL418" s="98"/>
      <c r="AM418" s="252" t="s">
        <v>283</v>
      </c>
      <c r="AO418" s="234" t="s">
        <v>115</v>
      </c>
      <c r="AP418" s="232">
        <f t="shared" si="17"/>
        <v>9935330</v>
      </c>
      <c r="AQ418" s="230">
        <f t="shared" si="15"/>
        <v>6</v>
      </c>
    </row>
    <row r="419" spans="1:43" ht="14.4">
      <c r="A419" s="252">
        <v>1</v>
      </c>
      <c r="B419" s="252" t="s">
        <v>273</v>
      </c>
      <c r="C419" s="252" t="s">
        <v>280</v>
      </c>
      <c r="D419" s="253">
        <v>45838</v>
      </c>
      <c r="E419" s="253">
        <v>45838</v>
      </c>
      <c r="F419" s="252" t="s">
        <v>281</v>
      </c>
      <c r="G419" s="252" t="s">
        <v>275</v>
      </c>
      <c r="H419" s="252"/>
      <c r="I419" s="252">
        <v>84</v>
      </c>
      <c r="J419" s="252" t="s">
        <v>276</v>
      </c>
      <c r="K419" s="252">
        <v>1533010002</v>
      </c>
      <c r="L419" s="98"/>
      <c r="M419" s="98"/>
      <c r="N419" s="98"/>
      <c r="O419" s="98"/>
      <c r="P419" s="98"/>
      <c r="Q419" s="98"/>
      <c r="R419" s="98"/>
      <c r="S419" s="98"/>
      <c r="T419" s="100">
        <v>-9224911</v>
      </c>
      <c r="U419" s="252" t="s">
        <v>277</v>
      </c>
      <c r="V419" s="98"/>
      <c r="W419" s="98"/>
      <c r="X419" s="98"/>
      <c r="Y419" s="98"/>
      <c r="Z419" s="98"/>
      <c r="AA419" s="98"/>
      <c r="AB419" s="98"/>
      <c r="AC419" s="252" t="s">
        <v>278</v>
      </c>
      <c r="AD419" s="98"/>
      <c r="AE419" s="98"/>
      <c r="AF419" s="98">
        <v>20250630</v>
      </c>
      <c r="AG419" s="98"/>
      <c r="AH419" s="98"/>
      <c r="AI419" s="98">
        <v>20250630</v>
      </c>
      <c r="AJ419" s="98">
        <v>8002514406</v>
      </c>
      <c r="AK419" s="254"/>
      <c r="AL419" s="98"/>
      <c r="AM419" s="252" t="s">
        <v>283</v>
      </c>
      <c r="AO419" s="234" t="s">
        <v>115</v>
      </c>
      <c r="AP419" s="232">
        <f t="shared" si="17"/>
        <v>9224911</v>
      </c>
      <c r="AQ419" s="230">
        <f t="shared" si="15"/>
        <v>6</v>
      </c>
    </row>
    <row r="420" spans="1:43" ht="14.4">
      <c r="A420" s="252">
        <v>1</v>
      </c>
      <c r="B420" s="252" t="s">
        <v>273</v>
      </c>
      <c r="C420" s="252" t="s">
        <v>280</v>
      </c>
      <c r="D420" s="253">
        <v>45838</v>
      </c>
      <c r="E420" s="253">
        <v>45838</v>
      </c>
      <c r="F420" s="252" t="s">
        <v>281</v>
      </c>
      <c r="G420" s="252" t="s">
        <v>275</v>
      </c>
      <c r="H420" s="252"/>
      <c r="I420" s="252">
        <v>85</v>
      </c>
      <c r="J420" s="252" t="s">
        <v>276</v>
      </c>
      <c r="K420" s="252">
        <v>1533010002</v>
      </c>
      <c r="L420" s="98"/>
      <c r="M420" s="98"/>
      <c r="N420" s="98"/>
      <c r="O420" s="98"/>
      <c r="P420" s="98"/>
      <c r="Q420" s="98"/>
      <c r="R420" s="98"/>
      <c r="S420" s="98"/>
      <c r="T420" s="100">
        <v>-3537009</v>
      </c>
      <c r="U420" s="252" t="s">
        <v>277</v>
      </c>
      <c r="V420" s="98"/>
      <c r="W420" s="98"/>
      <c r="X420" s="98"/>
      <c r="Y420" s="98"/>
      <c r="Z420" s="98"/>
      <c r="AA420" s="98"/>
      <c r="AB420" s="98"/>
      <c r="AC420" s="252" t="s">
        <v>278</v>
      </c>
      <c r="AD420" s="98"/>
      <c r="AE420" s="98"/>
      <c r="AF420" s="98">
        <v>20250630</v>
      </c>
      <c r="AG420" s="98"/>
      <c r="AH420" s="98"/>
      <c r="AI420" s="98">
        <v>20250630</v>
      </c>
      <c r="AJ420" s="98">
        <v>9001562642</v>
      </c>
      <c r="AK420" s="254"/>
      <c r="AL420" s="98"/>
      <c r="AM420" s="252" t="s">
        <v>316</v>
      </c>
      <c r="AO420" s="234" t="s">
        <v>111</v>
      </c>
      <c r="AP420" s="232">
        <f t="shared" si="17"/>
        <v>3537009</v>
      </c>
      <c r="AQ420" s="230">
        <f t="shared" si="15"/>
        <v>6</v>
      </c>
    </row>
    <row r="421" spans="1:43" ht="14.4">
      <c r="A421" s="252">
        <v>1</v>
      </c>
      <c r="B421" s="252" t="s">
        <v>273</v>
      </c>
      <c r="C421" s="252" t="s">
        <v>280</v>
      </c>
      <c r="D421" s="253">
        <v>45838</v>
      </c>
      <c r="E421" s="253">
        <v>45838</v>
      </c>
      <c r="F421" s="252" t="s">
        <v>281</v>
      </c>
      <c r="G421" s="252" t="s">
        <v>275</v>
      </c>
      <c r="H421" s="252"/>
      <c r="I421" s="252">
        <v>86</v>
      </c>
      <c r="J421" s="252" t="s">
        <v>276</v>
      </c>
      <c r="K421" s="252">
        <v>1533010002</v>
      </c>
      <c r="L421" s="98"/>
      <c r="M421" s="98"/>
      <c r="N421" s="98"/>
      <c r="O421" s="98"/>
      <c r="P421" s="98"/>
      <c r="Q421" s="98"/>
      <c r="R421" s="98"/>
      <c r="S421" s="98"/>
      <c r="T421" s="100">
        <v>-735695</v>
      </c>
      <c r="U421" s="252" t="s">
        <v>277</v>
      </c>
      <c r="V421" s="98"/>
      <c r="W421" s="98"/>
      <c r="X421" s="98"/>
      <c r="Y421" s="98"/>
      <c r="Z421" s="98"/>
      <c r="AA421" s="98"/>
      <c r="AB421" s="98"/>
      <c r="AC421" s="252" t="s">
        <v>278</v>
      </c>
      <c r="AD421" s="98"/>
      <c r="AE421" s="98"/>
      <c r="AF421" s="98">
        <v>20250630</v>
      </c>
      <c r="AG421" s="98"/>
      <c r="AH421" s="98"/>
      <c r="AI421" s="98">
        <v>20250630</v>
      </c>
      <c r="AJ421" s="98">
        <v>8301138310</v>
      </c>
      <c r="AK421" s="254"/>
      <c r="AL421" s="98"/>
      <c r="AM421" s="252" t="s">
        <v>287</v>
      </c>
      <c r="AO421" s="234">
        <v>0</v>
      </c>
      <c r="AP421" s="232">
        <f t="shared" si="17"/>
        <v>735695</v>
      </c>
      <c r="AQ421" s="230">
        <f t="shared" si="15"/>
        <v>6</v>
      </c>
    </row>
    <row r="422" spans="1:43" ht="14.4">
      <c r="A422" s="252">
        <v>1</v>
      </c>
      <c r="B422" s="252" t="s">
        <v>273</v>
      </c>
      <c r="C422" s="252" t="s">
        <v>280</v>
      </c>
      <c r="D422" s="253">
        <v>45838</v>
      </c>
      <c r="E422" s="253">
        <v>45838</v>
      </c>
      <c r="F422" s="252" t="s">
        <v>281</v>
      </c>
      <c r="G422" s="252" t="s">
        <v>275</v>
      </c>
      <c r="H422" s="252"/>
      <c r="I422" s="252">
        <v>87</v>
      </c>
      <c r="J422" s="252" t="s">
        <v>276</v>
      </c>
      <c r="K422" s="252">
        <v>1533010002</v>
      </c>
      <c r="L422" s="98"/>
      <c r="M422" s="98"/>
      <c r="N422" s="98"/>
      <c r="O422" s="98"/>
      <c r="P422" s="98"/>
      <c r="Q422" s="98"/>
      <c r="R422" s="98"/>
      <c r="S422" s="98"/>
      <c r="T422" s="100">
        <v>-2210932</v>
      </c>
      <c r="U422" s="252" t="s">
        <v>277</v>
      </c>
      <c r="V422" s="98"/>
      <c r="W422" s="98"/>
      <c r="X422" s="98"/>
      <c r="Y422" s="98"/>
      <c r="Z422" s="98"/>
      <c r="AA422" s="98"/>
      <c r="AB422" s="98"/>
      <c r="AC422" s="252" t="s">
        <v>278</v>
      </c>
      <c r="AD422" s="98"/>
      <c r="AE422" s="98"/>
      <c r="AF422" s="98">
        <v>20250630</v>
      </c>
      <c r="AG422" s="98"/>
      <c r="AH422" s="98"/>
      <c r="AI422" s="98">
        <v>20250630</v>
      </c>
      <c r="AJ422" s="98">
        <v>8300035647</v>
      </c>
      <c r="AK422" s="254"/>
      <c r="AL422" s="98"/>
      <c r="AM422" s="252" t="s">
        <v>286</v>
      </c>
      <c r="AO422" s="234" t="s">
        <v>109</v>
      </c>
      <c r="AP422" s="232">
        <f t="shared" si="17"/>
        <v>2210932</v>
      </c>
      <c r="AQ422" s="230">
        <f t="shared" si="15"/>
        <v>6</v>
      </c>
    </row>
    <row r="423" spans="1:43" ht="14.4">
      <c r="A423" s="252">
        <v>1</v>
      </c>
      <c r="B423" s="252" t="s">
        <v>273</v>
      </c>
      <c r="C423" s="252" t="s">
        <v>280</v>
      </c>
      <c r="D423" s="253">
        <v>45838</v>
      </c>
      <c r="E423" s="253">
        <v>45838</v>
      </c>
      <c r="F423" s="252" t="s">
        <v>281</v>
      </c>
      <c r="G423" s="252" t="s">
        <v>275</v>
      </c>
      <c r="H423" s="252"/>
      <c r="I423" s="252">
        <v>88</v>
      </c>
      <c r="J423" s="252" t="s">
        <v>276</v>
      </c>
      <c r="K423" s="252">
        <v>1533010002</v>
      </c>
      <c r="L423" s="98"/>
      <c r="M423" s="98"/>
      <c r="N423" s="98"/>
      <c r="O423" s="98"/>
      <c r="P423" s="98"/>
      <c r="Q423" s="98"/>
      <c r="R423" s="98"/>
      <c r="S423" s="98"/>
      <c r="T423" s="100">
        <v>-2651156</v>
      </c>
      <c r="U423" s="252" t="s">
        <v>277</v>
      </c>
      <c r="V423" s="98"/>
      <c r="W423" s="98"/>
      <c r="X423" s="98"/>
      <c r="Y423" s="98"/>
      <c r="Z423" s="98"/>
      <c r="AA423" s="98"/>
      <c r="AB423" s="98"/>
      <c r="AC423" s="252" t="s">
        <v>278</v>
      </c>
      <c r="AD423" s="98"/>
      <c r="AE423" s="98"/>
      <c r="AF423" s="98">
        <v>20250630</v>
      </c>
      <c r="AG423" s="98"/>
      <c r="AH423" s="98"/>
      <c r="AI423" s="98">
        <v>20250630</v>
      </c>
      <c r="AJ423" s="98">
        <v>8301138310</v>
      </c>
      <c r="AK423" s="254"/>
      <c r="AL423" s="98"/>
      <c r="AM423" s="252" t="s">
        <v>287</v>
      </c>
      <c r="AO423" s="234">
        <v>0</v>
      </c>
      <c r="AP423" s="232">
        <f t="shared" si="17"/>
        <v>2651156</v>
      </c>
      <c r="AQ423" s="230">
        <f t="shared" si="15"/>
        <v>6</v>
      </c>
    </row>
    <row r="424" spans="1:43" ht="14.4">
      <c r="A424" s="252">
        <v>1</v>
      </c>
      <c r="B424" s="252" t="s">
        <v>273</v>
      </c>
      <c r="C424" s="252" t="s">
        <v>280</v>
      </c>
      <c r="D424" s="253">
        <v>45838</v>
      </c>
      <c r="E424" s="253">
        <v>45838</v>
      </c>
      <c r="F424" s="252" t="s">
        <v>281</v>
      </c>
      <c r="G424" s="252" t="s">
        <v>275</v>
      </c>
      <c r="H424" s="252"/>
      <c r="I424" s="252">
        <v>89</v>
      </c>
      <c r="J424" s="252" t="s">
        <v>276</v>
      </c>
      <c r="K424" s="252">
        <v>1533010002</v>
      </c>
      <c r="L424" s="98"/>
      <c r="M424" s="98"/>
      <c r="N424" s="98"/>
      <c r="O424" s="98"/>
      <c r="P424" s="98"/>
      <c r="Q424" s="98"/>
      <c r="R424" s="98"/>
      <c r="S424" s="98"/>
      <c r="T424" s="100">
        <v>-996450</v>
      </c>
      <c r="U424" s="252" t="s">
        <v>277</v>
      </c>
      <c r="V424" s="98"/>
      <c r="W424" s="98"/>
      <c r="X424" s="98"/>
      <c r="Y424" s="98"/>
      <c r="Z424" s="98"/>
      <c r="AA424" s="98"/>
      <c r="AB424" s="98"/>
      <c r="AC424" s="252" t="s">
        <v>278</v>
      </c>
      <c r="AD424" s="98"/>
      <c r="AE424" s="98"/>
      <c r="AF424" s="98">
        <v>20250630</v>
      </c>
      <c r="AG424" s="98"/>
      <c r="AH424" s="98"/>
      <c r="AI424" s="98">
        <v>20250630</v>
      </c>
      <c r="AJ424" s="98">
        <v>8170017733</v>
      </c>
      <c r="AK424" s="254"/>
      <c r="AL424" s="98"/>
      <c r="AM424" s="252" t="s">
        <v>319</v>
      </c>
      <c r="AO424" s="234">
        <v>0</v>
      </c>
      <c r="AP424" s="232">
        <f t="shared" si="17"/>
        <v>996450</v>
      </c>
      <c r="AQ424" s="230">
        <f t="shared" si="15"/>
        <v>6</v>
      </c>
    </row>
    <row r="425" spans="1:43" ht="14.4">
      <c r="A425" s="252">
        <v>1</v>
      </c>
      <c r="B425" s="252" t="s">
        <v>273</v>
      </c>
      <c r="C425" s="252" t="s">
        <v>280</v>
      </c>
      <c r="D425" s="253">
        <v>45838</v>
      </c>
      <c r="E425" s="253">
        <v>45838</v>
      </c>
      <c r="F425" s="252" t="s">
        <v>281</v>
      </c>
      <c r="G425" s="252" t="s">
        <v>275</v>
      </c>
      <c r="H425" s="252"/>
      <c r="I425" s="252">
        <v>90</v>
      </c>
      <c r="J425" s="252" t="s">
        <v>276</v>
      </c>
      <c r="K425" s="252">
        <v>1533010002</v>
      </c>
      <c r="L425" s="98"/>
      <c r="M425" s="98"/>
      <c r="N425" s="98"/>
      <c r="O425" s="98"/>
      <c r="P425" s="98"/>
      <c r="Q425" s="98"/>
      <c r="R425" s="98"/>
      <c r="S425" s="98"/>
      <c r="T425" s="100">
        <v>-521950</v>
      </c>
      <c r="U425" s="252" t="s">
        <v>277</v>
      </c>
      <c r="V425" s="98"/>
      <c r="W425" s="98"/>
      <c r="X425" s="98"/>
      <c r="Y425" s="98"/>
      <c r="Z425" s="98"/>
      <c r="AA425" s="98"/>
      <c r="AB425" s="98"/>
      <c r="AC425" s="252" t="s">
        <v>278</v>
      </c>
      <c r="AD425" s="98"/>
      <c r="AE425" s="98"/>
      <c r="AF425" s="98">
        <v>20250630</v>
      </c>
      <c r="AG425" s="98"/>
      <c r="AH425" s="98"/>
      <c r="AI425" s="98">
        <v>20250630</v>
      </c>
      <c r="AJ425" s="98">
        <v>8050011572</v>
      </c>
      <c r="AK425" s="254"/>
      <c r="AL425" s="98"/>
      <c r="AM425" s="252" t="s">
        <v>284</v>
      </c>
      <c r="AO425" s="234">
        <v>0</v>
      </c>
      <c r="AP425" s="232">
        <f t="shared" si="17"/>
        <v>521950</v>
      </c>
      <c r="AQ425" s="230">
        <f t="shared" si="15"/>
        <v>6</v>
      </c>
    </row>
    <row r="426" spans="1:43" ht="14.4">
      <c r="A426" s="252">
        <v>1</v>
      </c>
      <c r="B426" s="252" t="s">
        <v>273</v>
      </c>
      <c r="C426" s="252" t="s">
        <v>280</v>
      </c>
      <c r="D426" s="253">
        <v>45838</v>
      </c>
      <c r="E426" s="253">
        <v>45838</v>
      </c>
      <c r="F426" s="252" t="s">
        <v>281</v>
      </c>
      <c r="G426" s="252" t="s">
        <v>275</v>
      </c>
      <c r="H426" s="252"/>
      <c r="I426" s="252">
        <v>91</v>
      </c>
      <c r="J426" s="252" t="s">
        <v>276</v>
      </c>
      <c r="K426" s="252">
        <v>1533010002</v>
      </c>
      <c r="L426" s="98"/>
      <c r="M426" s="98"/>
      <c r="N426" s="98"/>
      <c r="O426" s="98"/>
      <c r="P426" s="98"/>
      <c r="Q426" s="98"/>
      <c r="R426" s="98"/>
      <c r="S426" s="98"/>
      <c r="T426" s="100">
        <v>-711750</v>
      </c>
      <c r="U426" s="252" t="s">
        <v>277</v>
      </c>
      <c r="V426" s="98"/>
      <c r="W426" s="98"/>
      <c r="X426" s="98"/>
      <c r="Y426" s="98"/>
      <c r="Z426" s="98"/>
      <c r="AA426" s="98"/>
      <c r="AB426" s="98"/>
      <c r="AC426" s="252" t="s">
        <v>278</v>
      </c>
      <c r="AD426" s="98"/>
      <c r="AE426" s="98"/>
      <c r="AF426" s="98">
        <v>20250630</v>
      </c>
      <c r="AG426" s="98"/>
      <c r="AH426" s="98"/>
      <c r="AI426" s="98">
        <v>20250630</v>
      </c>
      <c r="AJ426" s="98">
        <v>8002492410</v>
      </c>
      <c r="AK426" s="254"/>
      <c r="AL426" s="98"/>
      <c r="AM426" s="252" t="s">
        <v>297</v>
      </c>
      <c r="AO426" s="234">
        <v>0</v>
      </c>
      <c r="AP426" s="232">
        <f t="shared" si="17"/>
        <v>711750</v>
      </c>
      <c r="AQ426" s="230">
        <f t="shared" si="15"/>
        <v>6</v>
      </c>
    </row>
    <row r="427" spans="1:43" ht="14.4">
      <c r="A427" s="252">
        <v>1</v>
      </c>
      <c r="B427" s="252" t="s">
        <v>273</v>
      </c>
      <c r="C427" s="252" t="s">
        <v>280</v>
      </c>
      <c r="D427" s="253">
        <v>45838</v>
      </c>
      <c r="E427" s="253">
        <v>45838</v>
      </c>
      <c r="F427" s="252" t="s">
        <v>281</v>
      </c>
      <c r="G427" s="252" t="s">
        <v>275</v>
      </c>
      <c r="H427" s="252"/>
      <c r="I427" s="252">
        <v>92</v>
      </c>
      <c r="J427" s="252" t="s">
        <v>276</v>
      </c>
      <c r="K427" s="252">
        <v>1533010002</v>
      </c>
      <c r="L427" s="98"/>
      <c r="M427" s="98"/>
      <c r="N427" s="98"/>
      <c r="O427" s="98"/>
      <c r="P427" s="98"/>
      <c r="Q427" s="98"/>
      <c r="R427" s="98"/>
      <c r="S427" s="98"/>
      <c r="T427" s="100">
        <v>-263560</v>
      </c>
      <c r="U427" s="252" t="s">
        <v>277</v>
      </c>
      <c r="V427" s="98"/>
      <c r="W427" s="98"/>
      <c r="X427" s="98"/>
      <c r="Y427" s="98"/>
      <c r="Z427" s="98"/>
      <c r="AA427" s="98"/>
      <c r="AB427" s="98"/>
      <c r="AC427" s="252" t="s">
        <v>278</v>
      </c>
      <c r="AD427" s="98"/>
      <c r="AE427" s="98"/>
      <c r="AF427" s="98">
        <v>20250630</v>
      </c>
      <c r="AG427" s="98"/>
      <c r="AH427" s="98"/>
      <c r="AI427" s="98">
        <v>20250630</v>
      </c>
      <c r="AJ427" s="98">
        <v>8600669427</v>
      </c>
      <c r="AK427" s="254"/>
      <c r="AL427" s="98"/>
      <c r="AM427" s="252" t="s">
        <v>289</v>
      </c>
      <c r="AO427" s="234" t="s">
        <v>101</v>
      </c>
      <c r="AP427" s="232">
        <f t="shared" si="17"/>
        <v>263560</v>
      </c>
      <c r="AQ427" s="230">
        <f t="shared" si="15"/>
        <v>6</v>
      </c>
    </row>
    <row r="428" spans="1:43" ht="14.4">
      <c r="A428" s="252">
        <v>1</v>
      </c>
      <c r="B428" s="252" t="s">
        <v>273</v>
      </c>
      <c r="C428" s="252" t="s">
        <v>280</v>
      </c>
      <c r="D428" s="253">
        <v>45838</v>
      </c>
      <c r="E428" s="253">
        <v>45838</v>
      </c>
      <c r="F428" s="252" t="s">
        <v>281</v>
      </c>
      <c r="G428" s="252" t="s">
        <v>275</v>
      </c>
      <c r="H428" s="252"/>
      <c r="I428" s="252">
        <v>93</v>
      </c>
      <c r="J428" s="252" t="s">
        <v>276</v>
      </c>
      <c r="K428" s="252">
        <v>1533010002</v>
      </c>
      <c r="L428" s="98"/>
      <c r="M428" s="98"/>
      <c r="N428" s="98"/>
      <c r="O428" s="98"/>
      <c r="P428" s="98"/>
      <c r="Q428" s="98"/>
      <c r="R428" s="98"/>
      <c r="S428" s="98"/>
      <c r="T428" s="100">
        <v>-284700</v>
      </c>
      <c r="U428" s="252" t="s">
        <v>277</v>
      </c>
      <c r="V428" s="98"/>
      <c r="W428" s="98"/>
      <c r="X428" s="98"/>
      <c r="Y428" s="98"/>
      <c r="Z428" s="98"/>
      <c r="AA428" s="98"/>
      <c r="AB428" s="98"/>
      <c r="AC428" s="252" t="s">
        <v>278</v>
      </c>
      <c r="AD428" s="98"/>
      <c r="AE428" s="98"/>
      <c r="AF428" s="98">
        <v>20250630</v>
      </c>
      <c r="AG428" s="98"/>
      <c r="AH428" s="98"/>
      <c r="AI428" s="98">
        <v>20250630</v>
      </c>
      <c r="AJ428" s="98">
        <v>8140003371</v>
      </c>
      <c r="AK428" s="254"/>
      <c r="AL428" s="98"/>
      <c r="AM428" s="252" t="s">
        <v>285</v>
      </c>
      <c r="AO428" s="234" t="s">
        <v>82</v>
      </c>
      <c r="AP428" s="232">
        <f t="shared" si="17"/>
        <v>284700</v>
      </c>
      <c r="AQ428" s="230">
        <f t="shared" si="15"/>
        <v>6</v>
      </c>
    </row>
    <row r="429" spans="1:43" ht="14.4">
      <c r="A429" s="252">
        <v>1</v>
      </c>
      <c r="B429" s="252" t="s">
        <v>273</v>
      </c>
      <c r="C429" s="252" t="s">
        <v>280</v>
      </c>
      <c r="D429" s="253">
        <v>45838</v>
      </c>
      <c r="E429" s="253">
        <v>45838</v>
      </c>
      <c r="F429" s="252" t="s">
        <v>281</v>
      </c>
      <c r="G429" s="252" t="s">
        <v>275</v>
      </c>
      <c r="H429" s="252"/>
      <c r="I429" s="252">
        <v>94</v>
      </c>
      <c r="J429" s="252" t="s">
        <v>276</v>
      </c>
      <c r="K429" s="252">
        <v>1533010002</v>
      </c>
      <c r="L429" s="98"/>
      <c r="M429" s="98"/>
      <c r="N429" s="98"/>
      <c r="O429" s="98"/>
      <c r="P429" s="98"/>
      <c r="Q429" s="98"/>
      <c r="R429" s="98"/>
      <c r="S429" s="98"/>
      <c r="T429" s="100">
        <v>-47450</v>
      </c>
      <c r="U429" s="252" t="s">
        <v>277</v>
      </c>
      <c r="V429" s="98"/>
      <c r="W429" s="98"/>
      <c r="X429" s="98"/>
      <c r="Y429" s="98"/>
      <c r="Z429" s="98"/>
      <c r="AA429" s="98"/>
      <c r="AB429" s="98"/>
      <c r="AC429" s="252" t="s">
        <v>278</v>
      </c>
      <c r="AD429" s="98"/>
      <c r="AE429" s="98"/>
      <c r="AF429" s="98">
        <v>20250630</v>
      </c>
      <c r="AG429" s="98"/>
      <c r="AH429" s="98"/>
      <c r="AI429" s="98">
        <v>20250630</v>
      </c>
      <c r="AJ429" s="98">
        <v>8002492410</v>
      </c>
      <c r="AK429" s="254"/>
      <c r="AL429" s="98"/>
      <c r="AM429" s="252" t="s">
        <v>297</v>
      </c>
      <c r="AO429" s="234">
        <v>0</v>
      </c>
      <c r="AP429" s="232">
        <f t="shared" si="17"/>
        <v>47450</v>
      </c>
      <c r="AQ429" s="230">
        <f t="shared" si="15"/>
        <v>6</v>
      </c>
    </row>
    <row r="430" spans="1:43" ht="14.4">
      <c r="A430" s="252">
        <v>1</v>
      </c>
      <c r="B430" s="252" t="s">
        <v>273</v>
      </c>
      <c r="C430" s="252" t="s">
        <v>280</v>
      </c>
      <c r="D430" s="253">
        <v>45838</v>
      </c>
      <c r="E430" s="253">
        <v>45838</v>
      </c>
      <c r="F430" s="252" t="s">
        <v>281</v>
      </c>
      <c r="G430" s="252" t="s">
        <v>275</v>
      </c>
      <c r="H430" s="252"/>
      <c r="I430" s="252">
        <v>95</v>
      </c>
      <c r="J430" s="252" t="s">
        <v>276</v>
      </c>
      <c r="K430" s="252">
        <v>1533010002</v>
      </c>
      <c r="L430" s="98"/>
      <c r="M430" s="98"/>
      <c r="N430" s="98"/>
      <c r="O430" s="98"/>
      <c r="P430" s="98"/>
      <c r="Q430" s="98"/>
      <c r="R430" s="98"/>
      <c r="S430" s="98"/>
      <c r="T430" s="100">
        <v>-3889584</v>
      </c>
      <c r="U430" s="252" t="s">
        <v>277</v>
      </c>
      <c r="V430" s="98"/>
      <c r="W430" s="98"/>
      <c r="X430" s="98"/>
      <c r="Y430" s="98"/>
      <c r="Z430" s="98"/>
      <c r="AA430" s="98"/>
      <c r="AB430" s="98"/>
      <c r="AC430" s="252" t="s">
        <v>278</v>
      </c>
      <c r="AD430" s="98"/>
      <c r="AE430" s="98"/>
      <c r="AF430" s="98">
        <v>20250630</v>
      </c>
      <c r="AG430" s="98"/>
      <c r="AH430" s="98"/>
      <c r="AI430" s="98">
        <v>20250630</v>
      </c>
      <c r="AJ430" s="98">
        <v>8002514406</v>
      </c>
      <c r="AK430" s="254"/>
      <c r="AL430" s="98"/>
      <c r="AM430" s="252" t="s">
        <v>283</v>
      </c>
      <c r="AO430" s="234" t="s">
        <v>115</v>
      </c>
      <c r="AP430" s="232">
        <f t="shared" si="17"/>
        <v>3889584</v>
      </c>
      <c r="AQ430" s="230">
        <f t="shared" si="15"/>
        <v>6</v>
      </c>
    </row>
    <row r="431" spans="1:43" ht="14.4">
      <c r="A431" s="252">
        <v>1</v>
      </c>
      <c r="B431" s="252" t="s">
        <v>273</v>
      </c>
      <c r="C431" s="252" t="s">
        <v>280</v>
      </c>
      <c r="D431" s="253">
        <v>45838</v>
      </c>
      <c r="E431" s="253">
        <v>45838</v>
      </c>
      <c r="F431" s="252" t="s">
        <v>281</v>
      </c>
      <c r="G431" s="252" t="s">
        <v>275</v>
      </c>
      <c r="H431" s="252"/>
      <c r="I431" s="252">
        <v>96</v>
      </c>
      <c r="J431" s="252" t="s">
        <v>276</v>
      </c>
      <c r="K431" s="252">
        <v>1533010002</v>
      </c>
      <c r="L431" s="98"/>
      <c r="M431" s="98"/>
      <c r="N431" s="98"/>
      <c r="O431" s="98"/>
      <c r="P431" s="98"/>
      <c r="Q431" s="98"/>
      <c r="R431" s="98"/>
      <c r="S431" s="98"/>
      <c r="T431" s="100">
        <v>-1919132</v>
      </c>
      <c r="U431" s="252" t="s">
        <v>277</v>
      </c>
      <c r="V431" s="98"/>
      <c r="W431" s="98"/>
      <c r="X431" s="98"/>
      <c r="Y431" s="98"/>
      <c r="Z431" s="98"/>
      <c r="AA431" s="98"/>
      <c r="AB431" s="98"/>
      <c r="AC431" s="252" t="s">
        <v>278</v>
      </c>
      <c r="AD431" s="98"/>
      <c r="AE431" s="98"/>
      <c r="AF431" s="98">
        <v>20250630</v>
      </c>
      <c r="AG431" s="98"/>
      <c r="AH431" s="98"/>
      <c r="AI431" s="98">
        <v>20250630</v>
      </c>
      <c r="AJ431" s="98">
        <v>8600021839</v>
      </c>
      <c r="AK431" s="254"/>
      <c r="AL431" s="98"/>
      <c r="AM431" s="252" t="s">
        <v>288</v>
      </c>
      <c r="AO431" s="234">
        <v>0</v>
      </c>
      <c r="AP431" s="232">
        <f t="shared" si="17"/>
        <v>1919132</v>
      </c>
      <c r="AQ431" s="230">
        <f t="shared" si="15"/>
        <v>6</v>
      </c>
    </row>
    <row r="432" spans="1:43" ht="14.4">
      <c r="A432" s="252">
        <v>1</v>
      </c>
      <c r="B432" s="252" t="s">
        <v>273</v>
      </c>
      <c r="C432" s="252" t="s">
        <v>280</v>
      </c>
      <c r="D432" s="253">
        <v>45838</v>
      </c>
      <c r="E432" s="253">
        <v>45838</v>
      </c>
      <c r="F432" s="252" t="s">
        <v>281</v>
      </c>
      <c r="G432" s="252" t="s">
        <v>275</v>
      </c>
      <c r="H432" s="252"/>
      <c r="I432" s="252">
        <v>97</v>
      </c>
      <c r="J432" s="252" t="s">
        <v>276</v>
      </c>
      <c r="K432" s="252">
        <v>1533010002</v>
      </c>
      <c r="L432" s="98"/>
      <c r="M432" s="98"/>
      <c r="N432" s="98"/>
      <c r="O432" s="98"/>
      <c r="P432" s="98"/>
      <c r="Q432" s="98"/>
      <c r="R432" s="98"/>
      <c r="S432" s="98"/>
      <c r="T432" s="100">
        <v>-521950</v>
      </c>
      <c r="U432" s="252" t="s">
        <v>277</v>
      </c>
      <c r="V432" s="98"/>
      <c r="W432" s="98"/>
      <c r="X432" s="98"/>
      <c r="Y432" s="98"/>
      <c r="Z432" s="98"/>
      <c r="AA432" s="98"/>
      <c r="AB432" s="98"/>
      <c r="AC432" s="252" t="s">
        <v>278</v>
      </c>
      <c r="AD432" s="98"/>
      <c r="AE432" s="98"/>
      <c r="AF432" s="98">
        <v>20250630</v>
      </c>
      <c r="AG432" s="98"/>
      <c r="AH432" s="98"/>
      <c r="AI432" s="98">
        <v>20250630</v>
      </c>
      <c r="AJ432" s="98">
        <v>8060083947</v>
      </c>
      <c r="AK432" s="254"/>
      <c r="AL432" s="98"/>
      <c r="AM432" s="252" t="s">
        <v>298</v>
      </c>
      <c r="AO432" s="234">
        <v>0</v>
      </c>
      <c r="AP432" s="232">
        <f t="shared" si="17"/>
        <v>521950</v>
      </c>
      <c r="AQ432" s="230">
        <f t="shared" si="15"/>
        <v>6</v>
      </c>
    </row>
    <row r="433" spans="1:43" ht="14.4">
      <c r="A433" s="252">
        <v>1</v>
      </c>
      <c r="B433" s="252" t="s">
        <v>273</v>
      </c>
      <c r="C433" s="252" t="s">
        <v>280</v>
      </c>
      <c r="D433" s="253">
        <v>45838</v>
      </c>
      <c r="E433" s="253">
        <v>45838</v>
      </c>
      <c r="F433" s="252" t="s">
        <v>281</v>
      </c>
      <c r="G433" s="252" t="s">
        <v>275</v>
      </c>
      <c r="H433" s="252"/>
      <c r="I433" s="252">
        <v>98</v>
      </c>
      <c r="J433" s="252" t="s">
        <v>276</v>
      </c>
      <c r="K433" s="252">
        <v>1533010002</v>
      </c>
      <c r="L433" s="98"/>
      <c r="M433" s="98"/>
      <c r="N433" s="98"/>
      <c r="O433" s="98"/>
      <c r="P433" s="98"/>
      <c r="Q433" s="98"/>
      <c r="R433" s="98"/>
      <c r="S433" s="98"/>
      <c r="T433" s="100">
        <v>-1398212</v>
      </c>
      <c r="U433" s="252" t="s">
        <v>277</v>
      </c>
      <c r="V433" s="98"/>
      <c r="W433" s="98"/>
      <c r="X433" s="98"/>
      <c r="Y433" s="98"/>
      <c r="Z433" s="98"/>
      <c r="AA433" s="98"/>
      <c r="AB433" s="98"/>
      <c r="AC433" s="252" t="s">
        <v>278</v>
      </c>
      <c r="AD433" s="98"/>
      <c r="AE433" s="98"/>
      <c r="AF433" s="98">
        <v>20250630</v>
      </c>
      <c r="AG433" s="98"/>
      <c r="AH433" s="98"/>
      <c r="AI433" s="98">
        <v>20250630</v>
      </c>
      <c r="AJ433" s="98">
        <v>8600669427</v>
      </c>
      <c r="AK433" s="254"/>
      <c r="AL433" s="98"/>
      <c r="AM433" s="252" t="s">
        <v>289</v>
      </c>
      <c r="AO433" s="234" t="s">
        <v>101</v>
      </c>
      <c r="AP433" s="232">
        <f t="shared" si="17"/>
        <v>1398212</v>
      </c>
      <c r="AQ433" s="230">
        <f t="shared" si="15"/>
        <v>6</v>
      </c>
    </row>
    <row r="434" spans="1:43" ht="14.4">
      <c r="A434" s="252">
        <v>1</v>
      </c>
      <c r="B434" s="252" t="s">
        <v>273</v>
      </c>
      <c r="C434" s="252" t="s">
        <v>280</v>
      </c>
      <c r="D434" s="253">
        <v>45838</v>
      </c>
      <c r="E434" s="253">
        <v>45838</v>
      </c>
      <c r="F434" s="252" t="s">
        <v>281</v>
      </c>
      <c r="G434" s="252" t="s">
        <v>275</v>
      </c>
      <c r="H434" s="252"/>
      <c r="I434" s="252">
        <v>99</v>
      </c>
      <c r="J434" s="252" t="s">
        <v>276</v>
      </c>
      <c r="K434" s="252">
        <v>1533010002</v>
      </c>
      <c r="L434" s="98"/>
      <c r="M434" s="98"/>
      <c r="N434" s="98"/>
      <c r="O434" s="98"/>
      <c r="P434" s="98"/>
      <c r="Q434" s="98"/>
      <c r="R434" s="98"/>
      <c r="S434" s="98"/>
      <c r="T434" s="100">
        <v>-2179335</v>
      </c>
      <c r="U434" s="252" t="s">
        <v>277</v>
      </c>
      <c r="V434" s="98"/>
      <c r="W434" s="98"/>
      <c r="X434" s="98"/>
      <c r="Y434" s="98"/>
      <c r="Z434" s="98"/>
      <c r="AA434" s="98"/>
      <c r="AB434" s="98"/>
      <c r="AC434" s="252" t="s">
        <v>278</v>
      </c>
      <c r="AD434" s="98"/>
      <c r="AE434" s="98"/>
      <c r="AF434" s="98">
        <v>20250630</v>
      </c>
      <c r="AG434" s="98"/>
      <c r="AH434" s="98"/>
      <c r="AI434" s="98">
        <v>20250630</v>
      </c>
      <c r="AJ434" s="98">
        <v>8002514406</v>
      </c>
      <c r="AK434" s="254"/>
      <c r="AL434" s="98"/>
      <c r="AM434" s="252" t="s">
        <v>283</v>
      </c>
      <c r="AO434" s="234" t="s">
        <v>115</v>
      </c>
      <c r="AP434" s="232">
        <f t="shared" si="17"/>
        <v>2179335</v>
      </c>
      <c r="AQ434" s="230">
        <f t="shared" si="15"/>
        <v>6</v>
      </c>
    </row>
    <row r="435" spans="1:43" ht="14.4">
      <c r="A435" s="252">
        <v>1</v>
      </c>
      <c r="B435" s="252" t="s">
        <v>273</v>
      </c>
      <c r="C435" s="252" t="s">
        <v>280</v>
      </c>
      <c r="D435" s="253">
        <v>45838</v>
      </c>
      <c r="E435" s="253">
        <v>45838</v>
      </c>
      <c r="F435" s="252" t="s">
        <v>281</v>
      </c>
      <c r="G435" s="252" t="s">
        <v>275</v>
      </c>
      <c r="H435" s="252"/>
      <c r="I435" s="252">
        <v>100</v>
      </c>
      <c r="J435" s="252" t="s">
        <v>276</v>
      </c>
      <c r="K435" s="252">
        <v>1533010002</v>
      </c>
      <c r="L435" s="98"/>
      <c r="M435" s="98"/>
      <c r="N435" s="98"/>
      <c r="O435" s="98"/>
      <c r="P435" s="98"/>
      <c r="Q435" s="98"/>
      <c r="R435" s="98"/>
      <c r="S435" s="98"/>
      <c r="T435" s="100">
        <v>-8832838</v>
      </c>
      <c r="U435" s="252" t="s">
        <v>277</v>
      </c>
      <c r="V435" s="98"/>
      <c r="W435" s="98"/>
      <c r="X435" s="98"/>
      <c r="Y435" s="98"/>
      <c r="Z435" s="98"/>
      <c r="AA435" s="98"/>
      <c r="AB435" s="98"/>
      <c r="AC435" s="252" t="s">
        <v>278</v>
      </c>
      <c r="AD435" s="98"/>
      <c r="AE435" s="98"/>
      <c r="AF435" s="98">
        <v>20250630</v>
      </c>
      <c r="AG435" s="98"/>
      <c r="AH435" s="98"/>
      <c r="AI435" s="98">
        <v>20250630</v>
      </c>
      <c r="AJ435" s="98">
        <v>9001562642</v>
      </c>
      <c r="AK435" s="254"/>
      <c r="AL435" s="98"/>
      <c r="AM435" s="252" t="s">
        <v>316</v>
      </c>
      <c r="AO435" s="234" t="s">
        <v>111</v>
      </c>
      <c r="AP435" s="232">
        <f t="shared" si="17"/>
        <v>8832838</v>
      </c>
      <c r="AQ435" s="230">
        <f t="shared" si="15"/>
        <v>6</v>
      </c>
    </row>
    <row r="436" spans="1:43" ht="14.4">
      <c r="A436" s="252">
        <v>1</v>
      </c>
      <c r="B436" s="252" t="s">
        <v>273</v>
      </c>
      <c r="C436" s="252" t="s">
        <v>280</v>
      </c>
      <c r="D436" s="253">
        <v>45838</v>
      </c>
      <c r="E436" s="253">
        <v>45838</v>
      </c>
      <c r="F436" s="252" t="s">
        <v>281</v>
      </c>
      <c r="G436" s="252" t="s">
        <v>275</v>
      </c>
      <c r="H436" s="252"/>
      <c r="I436" s="252">
        <v>101</v>
      </c>
      <c r="J436" s="252" t="s">
        <v>276</v>
      </c>
      <c r="K436" s="252">
        <v>1533010002</v>
      </c>
      <c r="L436" s="98"/>
      <c r="M436" s="98"/>
      <c r="N436" s="98"/>
      <c r="O436" s="98"/>
      <c r="P436" s="98"/>
      <c r="Q436" s="98"/>
      <c r="R436" s="98"/>
      <c r="S436" s="98"/>
      <c r="T436" s="100">
        <v>-570165</v>
      </c>
      <c r="U436" s="252" t="s">
        <v>277</v>
      </c>
      <c r="V436" s="98"/>
      <c r="W436" s="98"/>
      <c r="X436" s="98"/>
      <c r="Y436" s="98"/>
      <c r="Z436" s="98"/>
      <c r="AA436" s="98"/>
      <c r="AB436" s="98"/>
      <c r="AC436" s="252" t="s">
        <v>278</v>
      </c>
      <c r="AD436" s="98"/>
      <c r="AE436" s="98"/>
      <c r="AF436" s="98">
        <v>20250630</v>
      </c>
      <c r="AG436" s="98"/>
      <c r="AH436" s="98"/>
      <c r="AI436" s="98">
        <v>20250630</v>
      </c>
      <c r="AJ436" s="98">
        <v>8300035647</v>
      </c>
      <c r="AK436" s="254"/>
      <c r="AL436" s="98"/>
      <c r="AM436" s="252" t="s">
        <v>286</v>
      </c>
      <c r="AO436" s="234" t="s">
        <v>109</v>
      </c>
      <c r="AP436" s="232">
        <f t="shared" si="17"/>
        <v>570165</v>
      </c>
      <c r="AQ436" s="230">
        <f t="shared" si="15"/>
        <v>6</v>
      </c>
    </row>
    <row r="437" spans="1:43" ht="14.4">
      <c r="A437" s="252">
        <v>1</v>
      </c>
      <c r="B437" s="252" t="s">
        <v>273</v>
      </c>
      <c r="C437" s="252" t="s">
        <v>280</v>
      </c>
      <c r="D437" s="253">
        <v>45838</v>
      </c>
      <c r="E437" s="253">
        <v>45838</v>
      </c>
      <c r="F437" s="252" t="s">
        <v>281</v>
      </c>
      <c r="G437" s="252" t="s">
        <v>275</v>
      </c>
      <c r="H437" s="252"/>
      <c r="I437" s="252">
        <v>102</v>
      </c>
      <c r="J437" s="252" t="s">
        <v>276</v>
      </c>
      <c r="K437" s="252">
        <v>1533010002</v>
      </c>
      <c r="L437" s="98"/>
      <c r="M437" s="98"/>
      <c r="N437" s="98"/>
      <c r="O437" s="98"/>
      <c r="P437" s="98"/>
      <c r="Q437" s="98"/>
      <c r="R437" s="98"/>
      <c r="S437" s="98"/>
      <c r="T437" s="100">
        <v>-7934532</v>
      </c>
      <c r="U437" s="252" t="s">
        <v>277</v>
      </c>
      <c r="V437" s="98"/>
      <c r="W437" s="98"/>
      <c r="X437" s="98"/>
      <c r="Y437" s="98"/>
      <c r="Z437" s="98"/>
      <c r="AA437" s="98"/>
      <c r="AB437" s="98"/>
      <c r="AC437" s="252" t="s">
        <v>278</v>
      </c>
      <c r="AD437" s="98"/>
      <c r="AE437" s="98"/>
      <c r="AF437" s="98">
        <v>20250630</v>
      </c>
      <c r="AG437" s="98"/>
      <c r="AH437" s="98"/>
      <c r="AI437" s="98">
        <v>20250630</v>
      </c>
      <c r="AJ437" s="98">
        <v>8002514406</v>
      </c>
      <c r="AK437" s="254"/>
      <c r="AL437" s="98"/>
      <c r="AM437" s="252" t="s">
        <v>283</v>
      </c>
      <c r="AO437" s="234" t="s">
        <v>115</v>
      </c>
      <c r="AP437" s="232">
        <f t="shared" si="17"/>
        <v>7934532</v>
      </c>
      <c r="AQ437" s="230">
        <f t="shared" si="15"/>
        <v>6</v>
      </c>
    </row>
    <row r="438" spans="1:43" ht="14.4">
      <c r="A438" s="252">
        <v>1</v>
      </c>
      <c r="B438" s="252" t="s">
        <v>273</v>
      </c>
      <c r="C438" s="252" t="s">
        <v>280</v>
      </c>
      <c r="D438" s="253">
        <v>45838</v>
      </c>
      <c r="E438" s="253">
        <v>45838</v>
      </c>
      <c r="F438" s="252" t="s">
        <v>281</v>
      </c>
      <c r="G438" s="252" t="s">
        <v>275</v>
      </c>
      <c r="H438" s="252"/>
      <c r="I438" s="252">
        <v>103</v>
      </c>
      <c r="J438" s="252" t="s">
        <v>276</v>
      </c>
      <c r="K438" s="252">
        <v>1533010002</v>
      </c>
      <c r="L438" s="98"/>
      <c r="M438" s="98"/>
      <c r="N438" s="98"/>
      <c r="O438" s="98"/>
      <c r="P438" s="98"/>
      <c r="Q438" s="98"/>
      <c r="R438" s="98"/>
      <c r="S438" s="98"/>
      <c r="T438" s="100">
        <v>-210533</v>
      </c>
      <c r="U438" s="252" t="s">
        <v>277</v>
      </c>
      <c r="V438" s="98"/>
      <c r="W438" s="98"/>
      <c r="X438" s="98"/>
      <c r="Y438" s="98"/>
      <c r="Z438" s="98"/>
      <c r="AA438" s="98"/>
      <c r="AB438" s="98"/>
      <c r="AC438" s="252" t="s">
        <v>278</v>
      </c>
      <c r="AD438" s="98"/>
      <c r="AE438" s="98"/>
      <c r="AF438" s="98">
        <v>20250630</v>
      </c>
      <c r="AG438" s="98"/>
      <c r="AH438" s="98"/>
      <c r="AI438" s="98">
        <v>20250630</v>
      </c>
      <c r="AJ438" s="98">
        <v>8600669427</v>
      </c>
      <c r="AK438" s="254"/>
      <c r="AL438" s="98"/>
      <c r="AM438" s="252" t="s">
        <v>289</v>
      </c>
      <c r="AO438" s="234" t="s">
        <v>101</v>
      </c>
      <c r="AP438" s="232">
        <f t="shared" si="17"/>
        <v>210533</v>
      </c>
      <c r="AQ438" s="230">
        <f t="shared" si="15"/>
        <v>6</v>
      </c>
    </row>
    <row r="439" spans="1:43" ht="14.4">
      <c r="A439" s="252">
        <v>1</v>
      </c>
      <c r="B439" s="252" t="s">
        <v>273</v>
      </c>
      <c r="C439" s="252" t="s">
        <v>280</v>
      </c>
      <c r="D439" s="253">
        <v>45838</v>
      </c>
      <c r="E439" s="253">
        <v>45838</v>
      </c>
      <c r="F439" s="252" t="s">
        <v>281</v>
      </c>
      <c r="G439" s="252" t="s">
        <v>275</v>
      </c>
      <c r="H439" s="252"/>
      <c r="I439" s="252">
        <v>104</v>
      </c>
      <c r="J439" s="252" t="s">
        <v>276</v>
      </c>
      <c r="K439" s="252">
        <v>1533010002</v>
      </c>
      <c r="L439" s="98"/>
      <c r="M439" s="98"/>
      <c r="N439" s="98"/>
      <c r="O439" s="98"/>
      <c r="P439" s="98"/>
      <c r="Q439" s="98"/>
      <c r="R439" s="98"/>
      <c r="S439" s="98"/>
      <c r="T439" s="100">
        <v>-114355</v>
      </c>
      <c r="U439" s="252" t="s">
        <v>277</v>
      </c>
      <c r="V439" s="98"/>
      <c r="W439" s="98"/>
      <c r="X439" s="98"/>
      <c r="Y439" s="98"/>
      <c r="Z439" s="98"/>
      <c r="AA439" s="98"/>
      <c r="AB439" s="98"/>
      <c r="AC439" s="252" t="s">
        <v>278</v>
      </c>
      <c r="AD439" s="98"/>
      <c r="AE439" s="98"/>
      <c r="AF439" s="98">
        <v>20250630</v>
      </c>
      <c r="AG439" s="98"/>
      <c r="AH439" s="98"/>
      <c r="AI439" s="98">
        <v>20250630</v>
      </c>
      <c r="AJ439" s="98">
        <v>8600021839</v>
      </c>
      <c r="AK439" s="254"/>
      <c r="AL439" s="98"/>
      <c r="AM439" s="252" t="s">
        <v>288</v>
      </c>
      <c r="AO439" s="234">
        <v>0</v>
      </c>
      <c r="AP439" s="232">
        <f t="shared" si="17"/>
        <v>114355</v>
      </c>
      <c r="AQ439" s="230">
        <f t="shared" si="15"/>
        <v>6</v>
      </c>
    </row>
    <row r="440" spans="1:43" ht="14.4">
      <c r="A440" s="252">
        <v>1</v>
      </c>
      <c r="B440" s="252" t="s">
        <v>273</v>
      </c>
      <c r="C440" s="252" t="s">
        <v>280</v>
      </c>
      <c r="D440" s="253">
        <v>45838</v>
      </c>
      <c r="E440" s="253">
        <v>45838</v>
      </c>
      <c r="F440" s="252" t="s">
        <v>281</v>
      </c>
      <c r="G440" s="252" t="s">
        <v>275</v>
      </c>
      <c r="H440" s="252"/>
      <c r="I440" s="252">
        <v>105</v>
      </c>
      <c r="J440" s="252" t="s">
        <v>276</v>
      </c>
      <c r="K440" s="252">
        <v>1533010002</v>
      </c>
      <c r="L440" s="98"/>
      <c r="M440" s="98"/>
      <c r="N440" s="98"/>
      <c r="O440" s="98"/>
      <c r="P440" s="98"/>
      <c r="Q440" s="98"/>
      <c r="R440" s="98"/>
      <c r="S440" s="98"/>
      <c r="T440" s="100">
        <v>-846329</v>
      </c>
      <c r="U440" s="252" t="s">
        <v>277</v>
      </c>
      <c r="V440" s="98"/>
      <c r="W440" s="98"/>
      <c r="X440" s="98"/>
      <c r="Y440" s="98"/>
      <c r="Z440" s="98"/>
      <c r="AA440" s="98"/>
      <c r="AB440" s="98"/>
      <c r="AC440" s="252" t="s">
        <v>278</v>
      </c>
      <c r="AD440" s="98"/>
      <c r="AE440" s="98"/>
      <c r="AF440" s="98">
        <v>20250630</v>
      </c>
      <c r="AG440" s="98"/>
      <c r="AH440" s="98"/>
      <c r="AI440" s="98">
        <v>20250630</v>
      </c>
      <c r="AJ440" s="98">
        <v>8301138310</v>
      </c>
      <c r="AK440" s="254"/>
      <c r="AL440" s="98"/>
      <c r="AM440" s="252" t="s">
        <v>287</v>
      </c>
      <c r="AO440" s="234">
        <v>0</v>
      </c>
      <c r="AP440" s="232">
        <f t="shared" si="17"/>
        <v>846329</v>
      </c>
      <c r="AQ440" s="230">
        <f t="shared" si="15"/>
        <v>6</v>
      </c>
    </row>
    <row r="441" spans="1:43" ht="14.4">
      <c r="A441" s="252">
        <v>1</v>
      </c>
      <c r="B441" s="252" t="s">
        <v>273</v>
      </c>
      <c r="C441" s="252" t="s">
        <v>280</v>
      </c>
      <c r="D441" s="253">
        <v>45838</v>
      </c>
      <c r="E441" s="253">
        <v>45838</v>
      </c>
      <c r="F441" s="252" t="s">
        <v>281</v>
      </c>
      <c r="G441" s="252" t="s">
        <v>275</v>
      </c>
      <c r="H441" s="252"/>
      <c r="I441" s="252">
        <v>106</v>
      </c>
      <c r="J441" s="252" t="s">
        <v>276</v>
      </c>
      <c r="K441" s="252">
        <v>1533010002</v>
      </c>
      <c r="L441" s="98"/>
      <c r="M441" s="98"/>
      <c r="N441" s="98"/>
      <c r="O441" s="98"/>
      <c r="P441" s="98"/>
      <c r="Q441" s="98"/>
      <c r="R441" s="98"/>
      <c r="S441" s="98"/>
      <c r="T441" s="100">
        <v>-1176219</v>
      </c>
      <c r="U441" s="252" t="s">
        <v>277</v>
      </c>
      <c r="V441" s="98"/>
      <c r="W441" s="98"/>
      <c r="X441" s="98"/>
      <c r="Y441" s="98"/>
      <c r="Z441" s="98"/>
      <c r="AA441" s="98"/>
      <c r="AB441" s="98"/>
      <c r="AC441" s="252" t="s">
        <v>278</v>
      </c>
      <c r="AD441" s="98"/>
      <c r="AE441" s="98"/>
      <c r="AF441" s="98">
        <v>20250630</v>
      </c>
      <c r="AG441" s="98"/>
      <c r="AH441" s="98"/>
      <c r="AI441" s="98">
        <v>20250630</v>
      </c>
      <c r="AJ441" s="98">
        <v>8600669427</v>
      </c>
      <c r="AK441" s="254"/>
      <c r="AL441" s="98"/>
      <c r="AM441" s="252" t="s">
        <v>289</v>
      </c>
      <c r="AO441" s="234" t="s">
        <v>101</v>
      </c>
      <c r="AP441" s="232">
        <f t="shared" si="17"/>
        <v>1176219</v>
      </c>
      <c r="AQ441" s="230">
        <f t="shared" si="15"/>
        <v>6</v>
      </c>
    </row>
    <row r="442" spans="1:43" ht="14.4">
      <c r="A442" s="252">
        <v>1</v>
      </c>
      <c r="B442" s="252" t="s">
        <v>273</v>
      </c>
      <c r="C442" s="252" t="s">
        <v>280</v>
      </c>
      <c r="D442" s="253">
        <v>45838</v>
      </c>
      <c r="E442" s="253">
        <v>45838</v>
      </c>
      <c r="F442" s="252" t="s">
        <v>281</v>
      </c>
      <c r="G442" s="252" t="s">
        <v>275</v>
      </c>
      <c r="H442" s="252"/>
      <c r="I442" s="252">
        <v>107</v>
      </c>
      <c r="J442" s="252" t="s">
        <v>276</v>
      </c>
      <c r="K442" s="252">
        <v>1533010002</v>
      </c>
      <c r="L442" s="98"/>
      <c r="M442" s="98"/>
      <c r="N442" s="98"/>
      <c r="O442" s="98"/>
      <c r="P442" s="98"/>
      <c r="Q442" s="98"/>
      <c r="R442" s="98"/>
      <c r="S442" s="98"/>
      <c r="T442" s="100">
        <v>-237250</v>
      </c>
      <c r="U442" s="252" t="s">
        <v>277</v>
      </c>
      <c r="V442" s="98"/>
      <c r="W442" s="98"/>
      <c r="X442" s="98"/>
      <c r="Y442" s="98"/>
      <c r="Z442" s="98"/>
      <c r="AA442" s="98"/>
      <c r="AB442" s="98"/>
      <c r="AC442" s="252" t="s">
        <v>278</v>
      </c>
      <c r="AD442" s="98"/>
      <c r="AE442" s="98"/>
      <c r="AF442" s="98">
        <v>20250630</v>
      </c>
      <c r="AG442" s="98"/>
      <c r="AH442" s="98"/>
      <c r="AI442" s="98">
        <v>20250630</v>
      </c>
      <c r="AJ442" s="98">
        <v>8300035647</v>
      </c>
      <c r="AK442" s="254"/>
      <c r="AL442" s="98"/>
      <c r="AM442" s="252" t="s">
        <v>286</v>
      </c>
      <c r="AO442" s="234" t="s">
        <v>109</v>
      </c>
      <c r="AP442" s="232">
        <f t="shared" si="17"/>
        <v>237250</v>
      </c>
      <c r="AQ442" s="230">
        <f t="shared" si="15"/>
        <v>6</v>
      </c>
    </row>
    <row r="443" spans="1:43" ht="14.4">
      <c r="A443" s="252">
        <v>1</v>
      </c>
      <c r="B443" s="252" t="s">
        <v>273</v>
      </c>
      <c r="C443" s="252" t="s">
        <v>280</v>
      </c>
      <c r="D443" s="253">
        <v>45838</v>
      </c>
      <c r="E443" s="253">
        <v>45838</v>
      </c>
      <c r="F443" s="252" t="s">
        <v>281</v>
      </c>
      <c r="G443" s="252" t="s">
        <v>275</v>
      </c>
      <c r="H443" s="252"/>
      <c r="I443" s="252">
        <v>108</v>
      </c>
      <c r="J443" s="252" t="s">
        <v>276</v>
      </c>
      <c r="K443" s="252">
        <v>1533010002</v>
      </c>
      <c r="L443" s="98"/>
      <c r="M443" s="98"/>
      <c r="N443" s="98"/>
      <c r="O443" s="98"/>
      <c r="P443" s="98"/>
      <c r="Q443" s="98"/>
      <c r="R443" s="98"/>
      <c r="S443" s="98"/>
      <c r="T443" s="100">
        <v>-616850</v>
      </c>
      <c r="U443" s="252" t="s">
        <v>277</v>
      </c>
      <c r="V443" s="98"/>
      <c r="W443" s="98"/>
      <c r="X443" s="98"/>
      <c r="Y443" s="98"/>
      <c r="Z443" s="98"/>
      <c r="AA443" s="98"/>
      <c r="AB443" s="98"/>
      <c r="AC443" s="252" t="s">
        <v>278</v>
      </c>
      <c r="AD443" s="98"/>
      <c r="AE443" s="98"/>
      <c r="AF443" s="98">
        <v>20250630</v>
      </c>
      <c r="AG443" s="98"/>
      <c r="AH443" s="98"/>
      <c r="AI443" s="98">
        <v>20250630</v>
      </c>
      <c r="AJ443" s="98">
        <v>8060083947</v>
      </c>
      <c r="AK443" s="254"/>
      <c r="AL443" s="98"/>
      <c r="AM443" s="252" t="s">
        <v>293</v>
      </c>
      <c r="AO443" s="234">
        <v>0</v>
      </c>
      <c r="AP443" s="232">
        <f t="shared" si="17"/>
        <v>616850</v>
      </c>
      <c r="AQ443" s="230">
        <f t="shared" si="15"/>
        <v>6</v>
      </c>
    </row>
    <row r="444" spans="1:43" ht="14.4">
      <c r="A444" s="252">
        <v>1</v>
      </c>
      <c r="B444" s="252" t="s">
        <v>273</v>
      </c>
      <c r="C444" s="252" t="s">
        <v>280</v>
      </c>
      <c r="D444" s="253">
        <v>45838</v>
      </c>
      <c r="E444" s="253">
        <v>45838</v>
      </c>
      <c r="F444" s="252" t="s">
        <v>281</v>
      </c>
      <c r="G444" s="252" t="s">
        <v>275</v>
      </c>
      <c r="H444" s="252"/>
      <c r="I444" s="252">
        <v>109</v>
      </c>
      <c r="J444" s="252" t="s">
        <v>276</v>
      </c>
      <c r="K444" s="252">
        <v>1533010002</v>
      </c>
      <c r="L444" s="98"/>
      <c r="M444" s="98"/>
      <c r="N444" s="98"/>
      <c r="O444" s="98"/>
      <c r="P444" s="98"/>
      <c r="Q444" s="98"/>
      <c r="R444" s="98"/>
      <c r="S444" s="98"/>
      <c r="T444" s="100">
        <v>-184168</v>
      </c>
      <c r="U444" s="252" t="s">
        <v>277</v>
      </c>
      <c r="V444" s="98"/>
      <c r="W444" s="98"/>
      <c r="X444" s="98"/>
      <c r="Y444" s="98"/>
      <c r="Z444" s="98"/>
      <c r="AA444" s="98"/>
      <c r="AB444" s="98"/>
      <c r="AC444" s="252" t="s">
        <v>278</v>
      </c>
      <c r="AD444" s="98"/>
      <c r="AE444" s="98"/>
      <c r="AF444" s="98">
        <v>20250630</v>
      </c>
      <c r="AG444" s="98"/>
      <c r="AH444" s="98"/>
      <c r="AI444" s="98">
        <v>20250630</v>
      </c>
      <c r="AJ444" s="98">
        <v>8000887022</v>
      </c>
      <c r="AK444" s="254"/>
      <c r="AL444" s="98"/>
      <c r="AM444" s="252" t="s">
        <v>292</v>
      </c>
      <c r="AO444" s="234" t="s">
        <v>108</v>
      </c>
      <c r="AP444" s="232">
        <f t="shared" si="17"/>
        <v>184168</v>
      </c>
      <c r="AQ444" s="230">
        <f t="shared" si="15"/>
        <v>6</v>
      </c>
    </row>
    <row r="445" spans="1:43" ht="14.4">
      <c r="A445" s="252">
        <v>1</v>
      </c>
      <c r="B445" s="252" t="s">
        <v>273</v>
      </c>
      <c r="C445" s="252" t="s">
        <v>280</v>
      </c>
      <c r="D445" s="253">
        <v>45838</v>
      </c>
      <c r="E445" s="253">
        <v>45838</v>
      </c>
      <c r="F445" s="252" t="s">
        <v>281</v>
      </c>
      <c r="G445" s="252" t="s">
        <v>275</v>
      </c>
      <c r="H445" s="252"/>
      <c r="I445" s="252">
        <v>110</v>
      </c>
      <c r="J445" s="252" t="s">
        <v>276</v>
      </c>
      <c r="K445" s="252">
        <v>1533010002</v>
      </c>
      <c r="L445" s="98"/>
      <c r="M445" s="98"/>
      <c r="N445" s="98"/>
      <c r="O445" s="98"/>
      <c r="P445" s="98"/>
      <c r="Q445" s="98"/>
      <c r="R445" s="98"/>
      <c r="S445" s="98"/>
      <c r="T445" s="100">
        <v>-47450</v>
      </c>
      <c r="U445" s="252" t="s">
        <v>277</v>
      </c>
      <c r="V445" s="98"/>
      <c r="W445" s="98"/>
      <c r="X445" s="98"/>
      <c r="Y445" s="98"/>
      <c r="Z445" s="98"/>
      <c r="AA445" s="98"/>
      <c r="AB445" s="98"/>
      <c r="AC445" s="252" t="s">
        <v>278</v>
      </c>
      <c r="AD445" s="98"/>
      <c r="AE445" s="98"/>
      <c r="AF445" s="98">
        <v>20250630</v>
      </c>
      <c r="AG445" s="98"/>
      <c r="AH445" s="98"/>
      <c r="AI445" s="98">
        <v>20250630</v>
      </c>
      <c r="AJ445" s="98">
        <v>8002514406</v>
      </c>
      <c r="AK445" s="254"/>
      <c r="AL445" s="98"/>
      <c r="AM445" s="252" t="s">
        <v>283</v>
      </c>
      <c r="AO445" s="234" t="s">
        <v>115</v>
      </c>
      <c r="AP445" s="232">
        <f t="shared" si="17"/>
        <v>47450</v>
      </c>
      <c r="AQ445" s="230">
        <f t="shared" si="15"/>
        <v>6</v>
      </c>
    </row>
    <row r="446" spans="1:43" ht="14.4">
      <c r="A446" s="252">
        <v>1</v>
      </c>
      <c r="B446" s="252" t="s">
        <v>273</v>
      </c>
      <c r="C446" s="252" t="s">
        <v>280</v>
      </c>
      <c r="D446" s="253">
        <v>45838</v>
      </c>
      <c r="E446" s="253">
        <v>45838</v>
      </c>
      <c r="F446" s="252" t="s">
        <v>281</v>
      </c>
      <c r="G446" s="252" t="s">
        <v>275</v>
      </c>
      <c r="H446" s="252"/>
      <c r="I446" s="252">
        <v>111</v>
      </c>
      <c r="J446" s="252" t="s">
        <v>276</v>
      </c>
      <c r="K446" s="252">
        <v>1533010002</v>
      </c>
      <c r="L446" s="98"/>
      <c r="M446" s="98"/>
      <c r="N446" s="98"/>
      <c r="O446" s="98"/>
      <c r="P446" s="98"/>
      <c r="Q446" s="98"/>
      <c r="R446" s="98"/>
      <c r="S446" s="98"/>
      <c r="T446" s="100">
        <v>-3833886</v>
      </c>
      <c r="U446" s="252" t="s">
        <v>277</v>
      </c>
      <c r="V446" s="98"/>
      <c r="W446" s="98"/>
      <c r="X446" s="98"/>
      <c r="Y446" s="98"/>
      <c r="Z446" s="98"/>
      <c r="AA446" s="98"/>
      <c r="AB446" s="98"/>
      <c r="AC446" s="252" t="s">
        <v>278</v>
      </c>
      <c r="AD446" s="98"/>
      <c r="AE446" s="98"/>
      <c r="AF446" s="98">
        <v>20250630</v>
      </c>
      <c r="AG446" s="98"/>
      <c r="AH446" s="98"/>
      <c r="AI446" s="98">
        <v>20250630</v>
      </c>
      <c r="AJ446" s="98">
        <v>8600021839</v>
      </c>
      <c r="AK446" s="254"/>
      <c r="AL446" s="98"/>
      <c r="AM446" s="252" t="s">
        <v>288</v>
      </c>
      <c r="AO446" s="234">
        <v>0</v>
      </c>
      <c r="AP446" s="232">
        <f t="shared" si="17"/>
        <v>3833886</v>
      </c>
      <c r="AQ446" s="230">
        <f t="shared" si="15"/>
        <v>6</v>
      </c>
    </row>
    <row r="447" spans="1:43" ht="14.4">
      <c r="A447" s="252">
        <v>1</v>
      </c>
      <c r="B447" s="252" t="s">
        <v>273</v>
      </c>
      <c r="C447" s="252" t="s">
        <v>280</v>
      </c>
      <c r="D447" s="253">
        <v>45838</v>
      </c>
      <c r="E447" s="253">
        <v>45838</v>
      </c>
      <c r="F447" s="252" t="s">
        <v>281</v>
      </c>
      <c r="G447" s="252" t="s">
        <v>275</v>
      </c>
      <c r="H447" s="252"/>
      <c r="I447" s="252">
        <v>112</v>
      </c>
      <c r="J447" s="252" t="s">
        <v>276</v>
      </c>
      <c r="K447" s="252">
        <v>1533010002</v>
      </c>
      <c r="L447" s="98"/>
      <c r="M447" s="98"/>
      <c r="N447" s="98"/>
      <c r="O447" s="98"/>
      <c r="P447" s="98"/>
      <c r="Q447" s="98"/>
      <c r="R447" s="98"/>
      <c r="S447" s="98"/>
      <c r="T447" s="100">
        <v>-11307106</v>
      </c>
      <c r="U447" s="252" t="s">
        <v>277</v>
      </c>
      <c r="V447" s="98"/>
      <c r="W447" s="98"/>
      <c r="X447" s="98"/>
      <c r="Y447" s="98"/>
      <c r="Z447" s="98"/>
      <c r="AA447" s="98"/>
      <c r="AB447" s="98"/>
      <c r="AC447" s="252" t="s">
        <v>278</v>
      </c>
      <c r="AD447" s="98"/>
      <c r="AE447" s="98"/>
      <c r="AF447" s="98">
        <v>20250630</v>
      </c>
      <c r="AG447" s="98"/>
      <c r="AH447" s="98"/>
      <c r="AI447" s="98">
        <v>20250630</v>
      </c>
      <c r="AJ447" s="98">
        <v>8001309074</v>
      </c>
      <c r="AK447" s="254"/>
      <c r="AL447" s="98"/>
      <c r="AM447" s="252" t="s">
        <v>305</v>
      </c>
      <c r="AO447" s="234">
        <v>0</v>
      </c>
      <c r="AP447" s="232">
        <f t="shared" si="17"/>
        <v>11307106</v>
      </c>
      <c r="AQ447" s="230">
        <f t="shared" si="15"/>
        <v>6</v>
      </c>
    </row>
    <row r="448" spans="1:43" ht="14.4">
      <c r="A448" s="252">
        <v>1</v>
      </c>
      <c r="B448" s="252" t="s">
        <v>273</v>
      </c>
      <c r="C448" s="252" t="s">
        <v>280</v>
      </c>
      <c r="D448" s="253">
        <v>45838</v>
      </c>
      <c r="E448" s="253">
        <v>45838</v>
      </c>
      <c r="F448" s="252" t="s">
        <v>281</v>
      </c>
      <c r="G448" s="252" t="s">
        <v>275</v>
      </c>
      <c r="H448" s="252"/>
      <c r="I448" s="252">
        <v>113</v>
      </c>
      <c r="J448" s="252" t="s">
        <v>276</v>
      </c>
      <c r="K448" s="252">
        <v>1533010002</v>
      </c>
      <c r="L448" s="98"/>
      <c r="M448" s="98"/>
      <c r="N448" s="98"/>
      <c r="O448" s="98"/>
      <c r="P448" s="98"/>
      <c r="Q448" s="98"/>
      <c r="R448" s="98"/>
      <c r="S448" s="98"/>
      <c r="T448" s="100">
        <v>-237250</v>
      </c>
      <c r="U448" s="252" t="s">
        <v>277</v>
      </c>
      <c r="V448" s="98"/>
      <c r="W448" s="98"/>
      <c r="X448" s="98"/>
      <c r="Y448" s="98"/>
      <c r="Z448" s="98"/>
      <c r="AA448" s="98"/>
      <c r="AB448" s="98"/>
      <c r="AC448" s="252" t="s">
        <v>278</v>
      </c>
      <c r="AD448" s="98"/>
      <c r="AE448" s="98"/>
      <c r="AF448" s="98">
        <v>20250630</v>
      </c>
      <c r="AG448" s="98"/>
      <c r="AH448" s="98"/>
      <c r="AI448" s="98">
        <v>20250630</v>
      </c>
      <c r="AJ448" s="98">
        <v>8002492410</v>
      </c>
      <c r="AK448" s="254"/>
      <c r="AL448" s="98"/>
      <c r="AM448" s="252" t="s">
        <v>297</v>
      </c>
      <c r="AO448" s="234">
        <v>0</v>
      </c>
      <c r="AP448" s="232">
        <f t="shared" si="17"/>
        <v>237250</v>
      </c>
      <c r="AQ448" s="230">
        <f t="shared" si="15"/>
        <v>6</v>
      </c>
    </row>
    <row r="449" spans="1:43" ht="14.4">
      <c r="A449" s="252">
        <v>1</v>
      </c>
      <c r="B449" s="252" t="s">
        <v>273</v>
      </c>
      <c r="C449" s="252" t="s">
        <v>280</v>
      </c>
      <c r="D449" s="253">
        <v>45838</v>
      </c>
      <c r="E449" s="253">
        <v>45838</v>
      </c>
      <c r="F449" s="252" t="s">
        <v>281</v>
      </c>
      <c r="G449" s="252" t="s">
        <v>275</v>
      </c>
      <c r="H449" s="252"/>
      <c r="I449" s="252">
        <v>114</v>
      </c>
      <c r="J449" s="252" t="s">
        <v>276</v>
      </c>
      <c r="K449" s="252">
        <v>1533010002</v>
      </c>
      <c r="L449" s="98"/>
      <c r="M449" s="98"/>
      <c r="N449" s="98"/>
      <c r="O449" s="98"/>
      <c r="P449" s="98"/>
      <c r="Q449" s="98"/>
      <c r="R449" s="98"/>
      <c r="S449" s="98"/>
      <c r="T449" s="100">
        <v>-7756686</v>
      </c>
      <c r="U449" s="252" t="s">
        <v>277</v>
      </c>
      <c r="V449" s="98"/>
      <c r="W449" s="98"/>
      <c r="X449" s="98"/>
      <c r="Y449" s="98"/>
      <c r="Z449" s="98"/>
      <c r="AA449" s="98"/>
      <c r="AB449" s="98"/>
      <c r="AC449" s="252" t="s">
        <v>278</v>
      </c>
      <c r="AD449" s="98"/>
      <c r="AE449" s="98"/>
      <c r="AF449" s="98">
        <v>20250630</v>
      </c>
      <c r="AG449" s="98"/>
      <c r="AH449" s="98"/>
      <c r="AI449" s="98">
        <v>20250630</v>
      </c>
      <c r="AJ449" s="98">
        <v>8001309074</v>
      </c>
      <c r="AK449" s="254"/>
      <c r="AL449" s="98"/>
      <c r="AM449" s="252" t="s">
        <v>305</v>
      </c>
      <c r="AO449" s="234">
        <v>0</v>
      </c>
      <c r="AP449" s="232">
        <f t="shared" si="17"/>
        <v>7756686</v>
      </c>
      <c r="AQ449" s="230">
        <f t="shared" si="15"/>
        <v>6</v>
      </c>
    </row>
    <row r="450" spans="1:43" ht="14.4">
      <c r="A450" s="252">
        <v>1</v>
      </c>
      <c r="B450" s="252" t="s">
        <v>273</v>
      </c>
      <c r="C450" s="252" t="s">
        <v>280</v>
      </c>
      <c r="D450" s="253">
        <v>45838</v>
      </c>
      <c r="E450" s="253">
        <v>45838</v>
      </c>
      <c r="F450" s="252" t="s">
        <v>281</v>
      </c>
      <c r="G450" s="252" t="s">
        <v>275</v>
      </c>
      <c r="H450" s="252"/>
      <c r="I450" s="252">
        <v>115</v>
      </c>
      <c r="J450" s="252" t="s">
        <v>276</v>
      </c>
      <c r="K450" s="252">
        <v>1533010002</v>
      </c>
      <c r="L450" s="98"/>
      <c r="M450" s="98"/>
      <c r="N450" s="98"/>
      <c r="O450" s="98"/>
      <c r="P450" s="98"/>
      <c r="Q450" s="98"/>
      <c r="R450" s="98"/>
      <c r="S450" s="98"/>
      <c r="T450" s="100">
        <v>-47450</v>
      </c>
      <c r="U450" s="252" t="s">
        <v>277</v>
      </c>
      <c r="V450" s="98"/>
      <c r="W450" s="98"/>
      <c r="X450" s="98"/>
      <c r="Y450" s="98"/>
      <c r="Z450" s="98"/>
      <c r="AA450" s="98"/>
      <c r="AB450" s="98"/>
      <c r="AC450" s="252" t="s">
        <v>278</v>
      </c>
      <c r="AD450" s="98"/>
      <c r="AE450" s="98"/>
      <c r="AF450" s="98">
        <v>20250630</v>
      </c>
      <c r="AG450" s="98"/>
      <c r="AH450" s="98"/>
      <c r="AI450" s="98">
        <v>20250630</v>
      </c>
      <c r="AJ450" s="98">
        <v>9002983729</v>
      </c>
      <c r="AK450" s="254"/>
      <c r="AL450" s="98"/>
      <c r="AM450" s="252" t="s">
        <v>294</v>
      </c>
      <c r="AO450" s="234">
        <v>0</v>
      </c>
      <c r="AP450" s="232">
        <f t="shared" si="17"/>
        <v>47450</v>
      </c>
      <c r="AQ450" s="230">
        <f t="shared" si="15"/>
        <v>6</v>
      </c>
    </row>
    <row r="451" spans="1:43" ht="14.4">
      <c r="A451" s="252">
        <v>1</v>
      </c>
      <c r="B451" s="252" t="s">
        <v>273</v>
      </c>
      <c r="C451" s="252" t="s">
        <v>280</v>
      </c>
      <c r="D451" s="253">
        <v>45838</v>
      </c>
      <c r="E451" s="253">
        <v>45838</v>
      </c>
      <c r="F451" s="252" t="s">
        <v>281</v>
      </c>
      <c r="G451" s="252" t="s">
        <v>275</v>
      </c>
      <c r="H451" s="252"/>
      <c r="I451" s="252">
        <v>116</v>
      </c>
      <c r="J451" s="252" t="s">
        <v>276</v>
      </c>
      <c r="K451" s="252">
        <v>1533010002</v>
      </c>
      <c r="L451" s="98"/>
      <c r="M451" s="98"/>
      <c r="N451" s="98"/>
      <c r="O451" s="98"/>
      <c r="P451" s="98"/>
      <c r="Q451" s="98"/>
      <c r="R451" s="98"/>
      <c r="S451" s="98"/>
      <c r="T451" s="100">
        <v>-142350</v>
      </c>
      <c r="U451" s="252" t="s">
        <v>277</v>
      </c>
      <c r="V451" s="98"/>
      <c r="W451" s="98"/>
      <c r="X451" s="98"/>
      <c r="Y451" s="98"/>
      <c r="Z451" s="98"/>
      <c r="AA451" s="98"/>
      <c r="AB451" s="98"/>
      <c r="AC451" s="252" t="s">
        <v>278</v>
      </c>
      <c r="AD451" s="98"/>
      <c r="AE451" s="98"/>
      <c r="AF451" s="98">
        <v>20250630</v>
      </c>
      <c r="AG451" s="98"/>
      <c r="AH451" s="98"/>
      <c r="AI451" s="98">
        <v>20250630</v>
      </c>
      <c r="AJ451" s="98">
        <v>9002983729</v>
      </c>
      <c r="AK451" s="254"/>
      <c r="AL451" s="98"/>
      <c r="AM451" s="252" t="s">
        <v>294</v>
      </c>
      <c r="AO451" s="234">
        <v>0</v>
      </c>
      <c r="AP451" s="232">
        <f t="shared" si="17"/>
        <v>142350</v>
      </c>
      <c r="AQ451" s="230">
        <f t="shared" ref="AQ451:AQ514" si="18">+MONTH(D451)</f>
        <v>6</v>
      </c>
    </row>
    <row r="452" spans="1:43" ht="14.4">
      <c r="A452" s="252">
        <v>1</v>
      </c>
      <c r="B452" s="252" t="s">
        <v>273</v>
      </c>
      <c r="C452" s="252" t="s">
        <v>280</v>
      </c>
      <c r="D452" s="253">
        <v>45838</v>
      </c>
      <c r="E452" s="253">
        <v>45838</v>
      </c>
      <c r="F452" s="252" t="s">
        <v>281</v>
      </c>
      <c r="G452" s="252" t="s">
        <v>275</v>
      </c>
      <c r="H452" s="252"/>
      <c r="I452" s="252">
        <v>117</v>
      </c>
      <c r="J452" s="252" t="s">
        <v>276</v>
      </c>
      <c r="K452" s="252">
        <v>1533010002</v>
      </c>
      <c r="L452" s="98"/>
      <c r="M452" s="98"/>
      <c r="N452" s="98"/>
      <c r="O452" s="98"/>
      <c r="P452" s="98"/>
      <c r="Q452" s="98"/>
      <c r="R452" s="98"/>
      <c r="S452" s="98"/>
      <c r="T452" s="100">
        <v>-854100</v>
      </c>
      <c r="U452" s="252" t="s">
        <v>277</v>
      </c>
      <c r="V452" s="98"/>
      <c r="W452" s="98"/>
      <c r="X452" s="98"/>
      <c r="Y452" s="98"/>
      <c r="Z452" s="98"/>
      <c r="AA452" s="98"/>
      <c r="AB452" s="98"/>
      <c r="AC452" s="252" t="s">
        <v>278</v>
      </c>
      <c r="AD452" s="98"/>
      <c r="AE452" s="98"/>
      <c r="AF452" s="98">
        <v>20250630</v>
      </c>
      <c r="AG452" s="98"/>
      <c r="AH452" s="98"/>
      <c r="AI452" s="98">
        <v>20250630</v>
      </c>
      <c r="AJ452" s="98">
        <v>8002514406</v>
      </c>
      <c r="AK452" s="254"/>
      <c r="AL452" s="98"/>
      <c r="AM452" s="252" t="s">
        <v>283</v>
      </c>
      <c r="AO452" s="234" t="s">
        <v>115</v>
      </c>
      <c r="AP452" s="232">
        <f t="shared" si="17"/>
        <v>854100</v>
      </c>
      <c r="AQ452" s="230">
        <f t="shared" si="18"/>
        <v>6</v>
      </c>
    </row>
    <row r="453" spans="1:43" ht="14.4">
      <c r="A453" s="252">
        <v>1</v>
      </c>
      <c r="B453" s="252" t="s">
        <v>273</v>
      </c>
      <c r="C453" s="252" t="s">
        <v>280</v>
      </c>
      <c r="D453" s="253">
        <v>45838</v>
      </c>
      <c r="E453" s="253">
        <v>45838</v>
      </c>
      <c r="F453" s="252" t="s">
        <v>281</v>
      </c>
      <c r="G453" s="252" t="s">
        <v>275</v>
      </c>
      <c r="H453" s="252"/>
      <c r="I453" s="252">
        <v>118</v>
      </c>
      <c r="J453" s="252" t="s">
        <v>276</v>
      </c>
      <c r="K453" s="252">
        <v>1533010002</v>
      </c>
      <c r="L453" s="98"/>
      <c r="M453" s="98"/>
      <c r="N453" s="98"/>
      <c r="O453" s="98"/>
      <c r="P453" s="98"/>
      <c r="Q453" s="98"/>
      <c r="R453" s="98"/>
      <c r="S453" s="98"/>
      <c r="T453" s="100">
        <v>-134117</v>
      </c>
      <c r="U453" s="252" t="s">
        <v>277</v>
      </c>
      <c r="V453" s="98"/>
      <c r="W453" s="98"/>
      <c r="X453" s="98"/>
      <c r="Y453" s="98"/>
      <c r="Z453" s="98"/>
      <c r="AA453" s="98"/>
      <c r="AB453" s="98"/>
      <c r="AC453" s="252" t="s">
        <v>278</v>
      </c>
      <c r="AD453" s="98"/>
      <c r="AE453" s="98"/>
      <c r="AF453" s="98">
        <v>20250630</v>
      </c>
      <c r="AG453" s="98"/>
      <c r="AH453" s="98"/>
      <c r="AI453" s="98">
        <v>20250630</v>
      </c>
      <c r="AJ453" s="98">
        <v>8300035647</v>
      </c>
      <c r="AK453" s="254"/>
      <c r="AL453" s="98"/>
      <c r="AM453" s="252" t="s">
        <v>286</v>
      </c>
      <c r="AO453" s="234" t="s">
        <v>109</v>
      </c>
      <c r="AP453" s="232">
        <f t="shared" si="17"/>
        <v>134117</v>
      </c>
      <c r="AQ453" s="230">
        <f t="shared" si="18"/>
        <v>6</v>
      </c>
    </row>
    <row r="454" spans="1:43" ht="14.4">
      <c r="A454" s="252">
        <v>1</v>
      </c>
      <c r="B454" s="252" t="s">
        <v>273</v>
      </c>
      <c r="C454" s="252" t="s">
        <v>280</v>
      </c>
      <c r="D454" s="253">
        <v>45838</v>
      </c>
      <c r="E454" s="253">
        <v>45838</v>
      </c>
      <c r="F454" s="252" t="s">
        <v>281</v>
      </c>
      <c r="G454" s="252" t="s">
        <v>275</v>
      </c>
      <c r="H454" s="252"/>
      <c r="I454" s="252">
        <v>119</v>
      </c>
      <c r="J454" s="252" t="s">
        <v>276</v>
      </c>
      <c r="K454" s="252">
        <v>1533010002</v>
      </c>
      <c r="L454" s="98"/>
      <c r="M454" s="98"/>
      <c r="N454" s="98"/>
      <c r="O454" s="98"/>
      <c r="P454" s="98"/>
      <c r="Q454" s="98"/>
      <c r="R454" s="98"/>
      <c r="S454" s="98"/>
      <c r="T454" s="100">
        <v>-7913961</v>
      </c>
      <c r="U454" s="252" t="s">
        <v>277</v>
      </c>
      <c r="V454" s="98"/>
      <c r="W454" s="98"/>
      <c r="X454" s="98"/>
      <c r="Y454" s="98"/>
      <c r="Z454" s="98"/>
      <c r="AA454" s="98"/>
      <c r="AB454" s="98"/>
      <c r="AC454" s="252" t="s">
        <v>278</v>
      </c>
      <c r="AD454" s="98"/>
      <c r="AE454" s="98"/>
      <c r="AF454" s="98">
        <v>20250630</v>
      </c>
      <c r="AG454" s="98"/>
      <c r="AH454" s="98"/>
      <c r="AI454" s="98">
        <v>20250630</v>
      </c>
      <c r="AJ454" s="98">
        <v>9001562642</v>
      </c>
      <c r="AK454" s="254"/>
      <c r="AL454" s="98"/>
      <c r="AM454" s="252" t="s">
        <v>316</v>
      </c>
      <c r="AO454" s="234" t="s">
        <v>111</v>
      </c>
      <c r="AP454" s="232">
        <f t="shared" si="17"/>
        <v>7913961</v>
      </c>
      <c r="AQ454" s="230">
        <f t="shared" si="18"/>
        <v>6</v>
      </c>
    </row>
    <row r="455" spans="1:43" ht="14.4">
      <c r="A455" s="252">
        <v>1</v>
      </c>
      <c r="B455" s="252" t="s">
        <v>273</v>
      </c>
      <c r="C455" s="252" t="s">
        <v>280</v>
      </c>
      <c r="D455" s="253">
        <v>45838</v>
      </c>
      <c r="E455" s="253">
        <v>45838</v>
      </c>
      <c r="F455" s="252" t="s">
        <v>281</v>
      </c>
      <c r="G455" s="252" t="s">
        <v>275</v>
      </c>
      <c r="H455" s="252"/>
      <c r="I455" s="252">
        <v>120</v>
      </c>
      <c r="J455" s="252" t="s">
        <v>276</v>
      </c>
      <c r="K455" s="252">
        <v>1533010002</v>
      </c>
      <c r="L455" s="98"/>
      <c r="M455" s="98"/>
      <c r="N455" s="98"/>
      <c r="O455" s="98"/>
      <c r="P455" s="98"/>
      <c r="Q455" s="98"/>
      <c r="R455" s="98"/>
      <c r="S455" s="98"/>
      <c r="T455" s="100">
        <v>-2847000</v>
      </c>
      <c r="U455" s="252" t="s">
        <v>277</v>
      </c>
      <c r="V455" s="98"/>
      <c r="W455" s="98"/>
      <c r="X455" s="98"/>
      <c r="Y455" s="98"/>
      <c r="Z455" s="98"/>
      <c r="AA455" s="98"/>
      <c r="AB455" s="98"/>
      <c r="AC455" s="252" t="s">
        <v>278</v>
      </c>
      <c r="AD455" s="98"/>
      <c r="AE455" s="98"/>
      <c r="AF455" s="98">
        <v>20250630</v>
      </c>
      <c r="AG455" s="98"/>
      <c r="AH455" s="98"/>
      <c r="AI455" s="98">
        <v>20250630</v>
      </c>
      <c r="AJ455" s="98">
        <v>8600669427</v>
      </c>
      <c r="AK455" s="254"/>
      <c r="AL455" s="98"/>
      <c r="AM455" s="252" t="s">
        <v>289</v>
      </c>
      <c r="AO455" s="234" t="s">
        <v>101</v>
      </c>
      <c r="AP455" s="232">
        <f t="shared" si="17"/>
        <v>2847000</v>
      </c>
      <c r="AQ455" s="230">
        <f t="shared" si="18"/>
        <v>6</v>
      </c>
    </row>
    <row r="456" spans="1:43" ht="14.4">
      <c r="A456" s="252">
        <v>1</v>
      </c>
      <c r="B456" s="252" t="s">
        <v>273</v>
      </c>
      <c r="C456" s="252" t="s">
        <v>280</v>
      </c>
      <c r="D456" s="253">
        <v>45838</v>
      </c>
      <c r="E456" s="253">
        <v>45838</v>
      </c>
      <c r="F456" s="252" t="s">
        <v>281</v>
      </c>
      <c r="G456" s="252" t="s">
        <v>275</v>
      </c>
      <c r="H456" s="252"/>
      <c r="I456" s="252">
        <v>121</v>
      </c>
      <c r="J456" s="252" t="s">
        <v>276</v>
      </c>
      <c r="K456" s="252">
        <v>1533010002</v>
      </c>
      <c r="L456" s="98"/>
      <c r="M456" s="98"/>
      <c r="N456" s="98"/>
      <c r="O456" s="98"/>
      <c r="P456" s="98"/>
      <c r="Q456" s="98"/>
      <c r="R456" s="98"/>
      <c r="S456" s="98"/>
      <c r="T456" s="100">
        <v>-1423500</v>
      </c>
      <c r="U456" s="252" t="s">
        <v>277</v>
      </c>
      <c r="V456" s="98"/>
      <c r="W456" s="98"/>
      <c r="X456" s="98"/>
      <c r="Y456" s="98"/>
      <c r="Z456" s="98"/>
      <c r="AA456" s="98"/>
      <c r="AB456" s="98"/>
      <c r="AC456" s="252" t="s">
        <v>278</v>
      </c>
      <c r="AD456" s="98"/>
      <c r="AE456" s="98"/>
      <c r="AF456" s="98">
        <v>20250630</v>
      </c>
      <c r="AG456" s="98"/>
      <c r="AH456" s="98"/>
      <c r="AI456" s="98">
        <v>20250630</v>
      </c>
      <c r="AJ456" s="98">
        <v>8002492410</v>
      </c>
      <c r="AK456" s="254"/>
      <c r="AL456" s="98"/>
      <c r="AM456" s="252" t="s">
        <v>297</v>
      </c>
      <c r="AO456" s="234">
        <v>0</v>
      </c>
      <c r="AP456" s="232">
        <f t="shared" si="17"/>
        <v>1423500</v>
      </c>
      <c r="AQ456" s="230">
        <f t="shared" si="18"/>
        <v>6</v>
      </c>
    </row>
    <row r="457" spans="1:43" ht="14.4">
      <c r="A457" s="252">
        <v>1</v>
      </c>
      <c r="B457" s="252" t="s">
        <v>273</v>
      </c>
      <c r="C457" s="252" t="s">
        <v>280</v>
      </c>
      <c r="D457" s="253">
        <v>45838</v>
      </c>
      <c r="E457" s="253">
        <v>45838</v>
      </c>
      <c r="F457" s="252" t="s">
        <v>281</v>
      </c>
      <c r="G457" s="252" t="s">
        <v>275</v>
      </c>
      <c r="H457" s="252"/>
      <c r="I457" s="252">
        <v>122</v>
      </c>
      <c r="J457" s="252" t="s">
        <v>276</v>
      </c>
      <c r="K457" s="252">
        <v>1533010002</v>
      </c>
      <c r="L457" s="98"/>
      <c r="M457" s="98"/>
      <c r="N457" s="98"/>
      <c r="O457" s="98"/>
      <c r="P457" s="98"/>
      <c r="Q457" s="98"/>
      <c r="R457" s="98"/>
      <c r="S457" s="98"/>
      <c r="T457" s="100">
        <v>-1089774</v>
      </c>
      <c r="U457" s="252" t="s">
        <v>277</v>
      </c>
      <c r="V457" s="98"/>
      <c r="W457" s="98"/>
      <c r="X457" s="98"/>
      <c r="Y457" s="98"/>
      <c r="Z457" s="98"/>
      <c r="AA457" s="98"/>
      <c r="AB457" s="98"/>
      <c r="AC457" s="252" t="s">
        <v>278</v>
      </c>
      <c r="AD457" s="98"/>
      <c r="AE457" s="98"/>
      <c r="AF457" s="98">
        <v>20250630</v>
      </c>
      <c r="AG457" s="98"/>
      <c r="AH457" s="98"/>
      <c r="AI457" s="98">
        <v>20250630</v>
      </c>
      <c r="AJ457" s="98">
        <v>8060083947</v>
      </c>
      <c r="AK457" s="254"/>
      <c r="AL457" s="98"/>
      <c r="AM457" s="252" t="s">
        <v>293</v>
      </c>
      <c r="AO457" s="234">
        <v>0</v>
      </c>
      <c r="AP457" s="232">
        <f t="shared" si="17"/>
        <v>1089774</v>
      </c>
      <c r="AQ457" s="230">
        <f t="shared" si="18"/>
        <v>6</v>
      </c>
    </row>
    <row r="458" spans="1:43" ht="14.4">
      <c r="A458" s="252">
        <v>1</v>
      </c>
      <c r="B458" s="252" t="s">
        <v>273</v>
      </c>
      <c r="C458" s="252" t="s">
        <v>280</v>
      </c>
      <c r="D458" s="253">
        <v>45838</v>
      </c>
      <c r="E458" s="253">
        <v>45838</v>
      </c>
      <c r="F458" s="252" t="s">
        <v>281</v>
      </c>
      <c r="G458" s="252" t="s">
        <v>275</v>
      </c>
      <c r="H458" s="252"/>
      <c r="I458" s="252">
        <v>123</v>
      </c>
      <c r="J458" s="252" t="s">
        <v>276</v>
      </c>
      <c r="K458" s="252">
        <v>1533010002</v>
      </c>
      <c r="L458" s="98"/>
      <c r="M458" s="98"/>
      <c r="N458" s="98"/>
      <c r="O458" s="98"/>
      <c r="P458" s="98"/>
      <c r="Q458" s="98"/>
      <c r="R458" s="98"/>
      <c r="S458" s="98"/>
      <c r="T458" s="100">
        <v>-518701</v>
      </c>
      <c r="U458" s="252" t="s">
        <v>277</v>
      </c>
      <c r="V458" s="98"/>
      <c r="W458" s="98"/>
      <c r="X458" s="98"/>
      <c r="Y458" s="98"/>
      <c r="Z458" s="98"/>
      <c r="AA458" s="98"/>
      <c r="AB458" s="98"/>
      <c r="AC458" s="252" t="s">
        <v>278</v>
      </c>
      <c r="AD458" s="98"/>
      <c r="AE458" s="98"/>
      <c r="AF458" s="98">
        <v>20250630</v>
      </c>
      <c r="AG458" s="98"/>
      <c r="AH458" s="98"/>
      <c r="AI458" s="98">
        <v>20250630</v>
      </c>
      <c r="AJ458" s="98">
        <v>8000887022</v>
      </c>
      <c r="AK458" s="254"/>
      <c r="AL458" s="98"/>
      <c r="AM458" s="252" t="s">
        <v>292</v>
      </c>
      <c r="AO458" s="234" t="s">
        <v>108</v>
      </c>
      <c r="AP458" s="232">
        <f t="shared" si="17"/>
        <v>518701</v>
      </c>
      <c r="AQ458" s="230">
        <f t="shared" si="18"/>
        <v>6</v>
      </c>
    </row>
    <row r="459" spans="1:43" ht="14.4">
      <c r="A459" s="252">
        <v>1</v>
      </c>
      <c r="B459" s="252" t="s">
        <v>273</v>
      </c>
      <c r="C459" s="252" t="s">
        <v>280</v>
      </c>
      <c r="D459" s="253">
        <v>45838</v>
      </c>
      <c r="E459" s="253">
        <v>45838</v>
      </c>
      <c r="F459" s="252" t="s">
        <v>281</v>
      </c>
      <c r="G459" s="252" t="s">
        <v>275</v>
      </c>
      <c r="H459" s="252"/>
      <c r="I459" s="252">
        <v>124</v>
      </c>
      <c r="J459" s="252" t="s">
        <v>276</v>
      </c>
      <c r="K459" s="252">
        <v>1533010002</v>
      </c>
      <c r="L459" s="98"/>
      <c r="M459" s="98"/>
      <c r="N459" s="98"/>
      <c r="O459" s="98"/>
      <c r="P459" s="98"/>
      <c r="Q459" s="98"/>
      <c r="R459" s="98"/>
      <c r="S459" s="98"/>
      <c r="T459" s="100">
        <v>-1042622</v>
      </c>
      <c r="U459" s="252" t="s">
        <v>277</v>
      </c>
      <c r="V459" s="98"/>
      <c r="W459" s="98"/>
      <c r="X459" s="98"/>
      <c r="Y459" s="98"/>
      <c r="Z459" s="98"/>
      <c r="AA459" s="98"/>
      <c r="AB459" s="98"/>
      <c r="AC459" s="252" t="s">
        <v>278</v>
      </c>
      <c r="AD459" s="98"/>
      <c r="AE459" s="98"/>
      <c r="AF459" s="98">
        <v>20250630</v>
      </c>
      <c r="AG459" s="98"/>
      <c r="AH459" s="98"/>
      <c r="AI459" s="98">
        <v>20250630</v>
      </c>
      <c r="AJ459" s="98">
        <v>8301138310</v>
      </c>
      <c r="AK459" s="254"/>
      <c r="AL459" s="98"/>
      <c r="AM459" s="252" t="s">
        <v>287</v>
      </c>
      <c r="AO459" s="234">
        <v>0</v>
      </c>
      <c r="AP459" s="232">
        <f t="shared" si="17"/>
        <v>1042622</v>
      </c>
      <c r="AQ459" s="230">
        <f t="shared" si="18"/>
        <v>6</v>
      </c>
    </row>
    <row r="460" spans="1:43" ht="14.4">
      <c r="A460" s="252">
        <v>1</v>
      </c>
      <c r="B460" s="252" t="s">
        <v>273</v>
      </c>
      <c r="C460" s="252" t="s">
        <v>280</v>
      </c>
      <c r="D460" s="253">
        <v>45838</v>
      </c>
      <c r="E460" s="253">
        <v>45838</v>
      </c>
      <c r="F460" s="252" t="s">
        <v>281</v>
      </c>
      <c r="G460" s="252" t="s">
        <v>275</v>
      </c>
      <c r="H460" s="252"/>
      <c r="I460" s="252">
        <v>125</v>
      </c>
      <c r="J460" s="252" t="s">
        <v>276</v>
      </c>
      <c r="K460" s="252">
        <v>1533010002</v>
      </c>
      <c r="L460" s="98"/>
      <c r="M460" s="98"/>
      <c r="N460" s="98"/>
      <c r="O460" s="98"/>
      <c r="P460" s="98"/>
      <c r="Q460" s="98"/>
      <c r="R460" s="98"/>
      <c r="S460" s="98"/>
      <c r="T460" s="100">
        <v>-616850</v>
      </c>
      <c r="U460" s="252" t="s">
        <v>277</v>
      </c>
      <c r="V460" s="98"/>
      <c r="W460" s="98"/>
      <c r="X460" s="98"/>
      <c r="Y460" s="98"/>
      <c r="Z460" s="98"/>
      <c r="AA460" s="98"/>
      <c r="AB460" s="98"/>
      <c r="AC460" s="252" t="s">
        <v>278</v>
      </c>
      <c r="AD460" s="98"/>
      <c r="AE460" s="98"/>
      <c r="AF460" s="98">
        <v>20250630</v>
      </c>
      <c r="AG460" s="98"/>
      <c r="AH460" s="98"/>
      <c r="AI460" s="98">
        <v>20250630</v>
      </c>
      <c r="AJ460" s="98">
        <v>8140003371</v>
      </c>
      <c r="AK460" s="254"/>
      <c r="AL460" s="98"/>
      <c r="AM460" s="252" t="s">
        <v>285</v>
      </c>
      <c r="AO460" s="234" t="s">
        <v>82</v>
      </c>
      <c r="AP460" s="232">
        <f t="shared" si="17"/>
        <v>616850</v>
      </c>
      <c r="AQ460" s="230">
        <f t="shared" si="18"/>
        <v>6</v>
      </c>
    </row>
    <row r="461" spans="1:43" ht="14.4">
      <c r="A461" s="252">
        <v>1</v>
      </c>
      <c r="B461" s="252" t="s">
        <v>273</v>
      </c>
      <c r="C461" s="252" t="s">
        <v>280</v>
      </c>
      <c r="D461" s="253">
        <v>45838</v>
      </c>
      <c r="E461" s="253">
        <v>45838</v>
      </c>
      <c r="F461" s="252" t="s">
        <v>281</v>
      </c>
      <c r="G461" s="252" t="s">
        <v>275</v>
      </c>
      <c r="H461" s="252"/>
      <c r="I461" s="252">
        <v>126</v>
      </c>
      <c r="J461" s="252" t="s">
        <v>276</v>
      </c>
      <c r="K461" s="252">
        <v>1533010002</v>
      </c>
      <c r="L461" s="98"/>
      <c r="M461" s="98"/>
      <c r="N461" s="98"/>
      <c r="O461" s="98"/>
      <c r="P461" s="98"/>
      <c r="Q461" s="98"/>
      <c r="R461" s="98"/>
      <c r="S461" s="98"/>
      <c r="T461" s="100">
        <v>-2518107</v>
      </c>
      <c r="U461" s="252" t="s">
        <v>277</v>
      </c>
      <c r="V461" s="98"/>
      <c r="W461" s="98"/>
      <c r="X461" s="98"/>
      <c r="Y461" s="98"/>
      <c r="Z461" s="98"/>
      <c r="AA461" s="98"/>
      <c r="AB461" s="98"/>
      <c r="AC461" s="252" t="s">
        <v>278</v>
      </c>
      <c r="AD461" s="98"/>
      <c r="AE461" s="98"/>
      <c r="AF461" s="98">
        <v>20250630</v>
      </c>
      <c r="AG461" s="98"/>
      <c r="AH461" s="98"/>
      <c r="AI461" s="98">
        <v>20250630</v>
      </c>
      <c r="AJ461" s="98">
        <v>8600021839</v>
      </c>
      <c r="AK461" s="254"/>
      <c r="AL461" s="98"/>
      <c r="AM461" s="252" t="s">
        <v>288</v>
      </c>
      <c r="AO461" s="234">
        <v>0</v>
      </c>
      <c r="AP461" s="232">
        <f t="shared" si="17"/>
        <v>2518107</v>
      </c>
      <c r="AQ461" s="230">
        <f t="shared" si="18"/>
        <v>6</v>
      </c>
    </row>
    <row r="462" spans="1:43" ht="14.4">
      <c r="A462" s="252">
        <v>1</v>
      </c>
      <c r="B462" s="252" t="s">
        <v>273</v>
      </c>
      <c r="C462" s="252" t="s">
        <v>280</v>
      </c>
      <c r="D462" s="253">
        <v>45838</v>
      </c>
      <c r="E462" s="253">
        <v>45838</v>
      </c>
      <c r="F462" s="252" t="s">
        <v>281</v>
      </c>
      <c r="G462" s="252" t="s">
        <v>275</v>
      </c>
      <c r="H462" s="252"/>
      <c r="I462" s="252">
        <v>127</v>
      </c>
      <c r="J462" s="252" t="s">
        <v>276</v>
      </c>
      <c r="K462" s="252">
        <v>1533010002</v>
      </c>
      <c r="L462" s="98"/>
      <c r="M462" s="98"/>
      <c r="N462" s="98"/>
      <c r="O462" s="98"/>
      <c r="P462" s="98"/>
      <c r="Q462" s="98"/>
      <c r="R462" s="98"/>
      <c r="S462" s="98"/>
      <c r="T462" s="100">
        <v>-11815098</v>
      </c>
      <c r="U462" s="252" t="s">
        <v>277</v>
      </c>
      <c r="V462" s="98"/>
      <c r="W462" s="98"/>
      <c r="X462" s="98"/>
      <c r="Y462" s="98"/>
      <c r="Z462" s="98"/>
      <c r="AA462" s="98"/>
      <c r="AB462" s="98"/>
      <c r="AC462" s="252" t="s">
        <v>278</v>
      </c>
      <c r="AD462" s="98"/>
      <c r="AE462" s="98"/>
      <c r="AF462" s="98">
        <v>20250630</v>
      </c>
      <c r="AG462" s="98"/>
      <c r="AH462" s="98"/>
      <c r="AI462" s="98">
        <v>20250630</v>
      </c>
      <c r="AJ462" s="98">
        <v>8001309074</v>
      </c>
      <c r="AK462" s="254"/>
      <c r="AL462" s="98"/>
      <c r="AM462" s="252" t="s">
        <v>305</v>
      </c>
      <c r="AO462" s="234">
        <v>0</v>
      </c>
      <c r="AP462" s="232">
        <f t="shared" si="17"/>
        <v>11815098</v>
      </c>
      <c r="AQ462" s="230">
        <f t="shared" si="18"/>
        <v>6</v>
      </c>
    </row>
    <row r="463" spans="1:43" ht="14.4">
      <c r="A463" s="252">
        <v>1</v>
      </c>
      <c r="B463" s="252" t="s">
        <v>273</v>
      </c>
      <c r="C463" s="252" t="s">
        <v>280</v>
      </c>
      <c r="D463" s="253">
        <v>45838</v>
      </c>
      <c r="E463" s="253">
        <v>45838</v>
      </c>
      <c r="F463" s="252" t="s">
        <v>281</v>
      </c>
      <c r="G463" s="252" t="s">
        <v>275</v>
      </c>
      <c r="H463" s="252"/>
      <c r="I463" s="252">
        <v>128</v>
      </c>
      <c r="J463" s="252" t="s">
        <v>276</v>
      </c>
      <c r="K463" s="252">
        <v>1533010002</v>
      </c>
      <c r="L463" s="98"/>
      <c r="M463" s="98"/>
      <c r="N463" s="98"/>
      <c r="O463" s="98"/>
      <c r="P463" s="98"/>
      <c r="Q463" s="98"/>
      <c r="R463" s="98"/>
      <c r="S463" s="98"/>
      <c r="T463" s="100">
        <v>-201867</v>
      </c>
      <c r="U463" s="252" t="s">
        <v>277</v>
      </c>
      <c r="V463" s="98"/>
      <c r="W463" s="98"/>
      <c r="X463" s="98"/>
      <c r="Y463" s="98"/>
      <c r="Z463" s="98"/>
      <c r="AA463" s="98"/>
      <c r="AB463" s="98"/>
      <c r="AC463" s="252" t="s">
        <v>278</v>
      </c>
      <c r="AD463" s="98"/>
      <c r="AE463" s="98"/>
      <c r="AF463" s="98">
        <v>20250630</v>
      </c>
      <c r="AG463" s="98"/>
      <c r="AH463" s="98"/>
      <c r="AI463" s="98">
        <v>20250630</v>
      </c>
      <c r="AJ463" s="98">
        <v>8000887022</v>
      </c>
      <c r="AK463" s="254"/>
      <c r="AL463" s="98"/>
      <c r="AM463" s="252" t="s">
        <v>292</v>
      </c>
      <c r="AO463" s="234" t="s">
        <v>108</v>
      </c>
      <c r="AP463" s="232">
        <f t="shared" si="17"/>
        <v>201867</v>
      </c>
      <c r="AQ463" s="230">
        <f t="shared" si="18"/>
        <v>6</v>
      </c>
    </row>
    <row r="464" spans="1:43" ht="14.4">
      <c r="A464" s="252">
        <v>1</v>
      </c>
      <c r="B464" s="252" t="s">
        <v>273</v>
      </c>
      <c r="C464" s="252" t="s">
        <v>280</v>
      </c>
      <c r="D464" s="253">
        <v>45838</v>
      </c>
      <c r="E464" s="253">
        <v>45838</v>
      </c>
      <c r="F464" s="252" t="s">
        <v>281</v>
      </c>
      <c r="G464" s="252" t="s">
        <v>275</v>
      </c>
      <c r="H464" s="252"/>
      <c r="I464" s="252">
        <v>129</v>
      </c>
      <c r="J464" s="252" t="s">
        <v>276</v>
      </c>
      <c r="K464" s="252">
        <v>1533010002</v>
      </c>
      <c r="L464" s="98"/>
      <c r="M464" s="98"/>
      <c r="N464" s="98"/>
      <c r="O464" s="98"/>
      <c r="P464" s="98"/>
      <c r="Q464" s="98"/>
      <c r="R464" s="98"/>
      <c r="S464" s="98"/>
      <c r="T464" s="100">
        <v>-47450</v>
      </c>
      <c r="U464" s="252" t="s">
        <v>277</v>
      </c>
      <c r="V464" s="98"/>
      <c r="W464" s="98"/>
      <c r="X464" s="98"/>
      <c r="Y464" s="98"/>
      <c r="Z464" s="98"/>
      <c r="AA464" s="98"/>
      <c r="AB464" s="98"/>
      <c r="AC464" s="252" t="s">
        <v>278</v>
      </c>
      <c r="AD464" s="98"/>
      <c r="AE464" s="98"/>
      <c r="AF464" s="98">
        <v>20250630</v>
      </c>
      <c r="AG464" s="98"/>
      <c r="AH464" s="98"/>
      <c r="AI464" s="98">
        <v>20250630</v>
      </c>
      <c r="AJ464" s="98">
        <v>8060083947</v>
      </c>
      <c r="AK464" s="254"/>
      <c r="AL464" s="98"/>
      <c r="AM464" s="252" t="s">
        <v>298</v>
      </c>
      <c r="AO464" s="234">
        <v>0</v>
      </c>
      <c r="AP464" s="232">
        <f t="shared" si="17"/>
        <v>47450</v>
      </c>
      <c r="AQ464" s="230">
        <f t="shared" si="18"/>
        <v>6</v>
      </c>
    </row>
    <row r="465" spans="1:43" ht="14.4">
      <c r="A465" s="252">
        <v>1</v>
      </c>
      <c r="B465" s="252" t="s">
        <v>273</v>
      </c>
      <c r="C465" s="252" t="s">
        <v>280</v>
      </c>
      <c r="D465" s="253">
        <v>45838</v>
      </c>
      <c r="E465" s="253">
        <v>45838</v>
      </c>
      <c r="F465" s="252" t="s">
        <v>281</v>
      </c>
      <c r="G465" s="252" t="s">
        <v>275</v>
      </c>
      <c r="H465" s="252"/>
      <c r="I465" s="252">
        <v>130</v>
      </c>
      <c r="J465" s="252" t="s">
        <v>276</v>
      </c>
      <c r="K465" s="252">
        <v>1533010002</v>
      </c>
      <c r="L465" s="98"/>
      <c r="M465" s="98"/>
      <c r="N465" s="98"/>
      <c r="O465" s="98"/>
      <c r="P465" s="98"/>
      <c r="Q465" s="98"/>
      <c r="R465" s="98"/>
      <c r="S465" s="98"/>
      <c r="T465" s="100">
        <v>-47450</v>
      </c>
      <c r="U465" s="252" t="s">
        <v>277</v>
      </c>
      <c r="V465" s="98"/>
      <c r="W465" s="98"/>
      <c r="X465" s="98"/>
      <c r="Y465" s="98"/>
      <c r="Z465" s="98"/>
      <c r="AA465" s="98"/>
      <c r="AB465" s="98"/>
      <c r="AC465" s="252" t="s">
        <v>278</v>
      </c>
      <c r="AD465" s="98"/>
      <c r="AE465" s="98"/>
      <c r="AF465" s="98">
        <v>20250630</v>
      </c>
      <c r="AG465" s="98"/>
      <c r="AH465" s="98"/>
      <c r="AI465" s="98">
        <v>20250630</v>
      </c>
      <c r="AJ465" s="98">
        <v>8002514406</v>
      </c>
      <c r="AK465" s="254"/>
      <c r="AL465" s="98"/>
      <c r="AM465" s="252" t="s">
        <v>283</v>
      </c>
      <c r="AO465" s="234" t="s">
        <v>115</v>
      </c>
      <c r="AP465" s="232">
        <f t="shared" si="17"/>
        <v>47450</v>
      </c>
      <c r="AQ465" s="230">
        <f t="shared" si="18"/>
        <v>6</v>
      </c>
    </row>
    <row r="466" spans="1:43" ht="14.4">
      <c r="A466" s="252">
        <v>1</v>
      </c>
      <c r="B466" s="252" t="s">
        <v>273</v>
      </c>
      <c r="C466" s="252" t="s">
        <v>280</v>
      </c>
      <c r="D466" s="253">
        <v>45838</v>
      </c>
      <c r="E466" s="253">
        <v>45838</v>
      </c>
      <c r="F466" s="252" t="s">
        <v>281</v>
      </c>
      <c r="G466" s="252" t="s">
        <v>275</v>
      </c>
      <c r="H466" s="252"/>
      <c r="I466" s="252">
        <v>131</v>
      </c>
      <c r="J466" s="252" t="s">
        <v>276</v>
      </c>
      <c r="K466" s="252">
        <v>1533010002</v>
      </c>
      <c r="L466" s="98"/>
      <c r="M466" s="98"/>
      <c r="N466" s="98"/>
      <c r="O466" s="98"/>
      <c r="P466" s="98"/>
      <c r="Q466" s="98"/>
      <c r="R466" s="98"/>
      <c r="S466" s="98"/>
      <c r="T466" s="100">
        <v>-55687</v>
      </c>
      <c r="U466" s="252" t="s">
        <v>277</v>
      </c>
      <c r="V466" s="98"/>
      <c r="W466" s="98"/>
      <c r="X466" s="98"/>
      <c r="Y466" s="98"/>
      <c r="Z466" s="98"/>
      <c r="AA466" s="98"/>
      <c r="AB466" s="98"/>
      <c r="AC466" s="252" t="s">
        <v>278</v>
      </c>
      <c r="AD466" s="98"/>
      <c r="AE466" s="98"/>
      <c r="AF466" s="98">
        <v>20250630</v>
      </c>
      <c r="AG466" s="98"/>
      <c r="AH466" s="98"/>
      <c r="AI466" s="98">
        <v>20250630</v>
      </c>
      <c r="AJ466" s="98">
        <v>8600669427</v>
      </c>
      <c r="AK466" s="254"/>
      <c r="AL466" s="98"/>
      <c r="AM466" s="252" t="s">
        <v>289</v>
      </c>
      <c r="AO466" s="234" t="s">
        <v>101</v>
      </c>
      <c r="AP466" s="232">
        <f t="shared" si="17"/>
        <v>55687</v>
      </c>
      <c r="AQ466" s="230">
        <f t="shared" si="18"/>
        <v>6</v>
      </c>
    </row>
    <row r="467" spans="1:43" ht="14.4">
      <c r="A467" s="252">
        <v>1</v>
      </c>
      <c r="B467" s="252" t="s">
        <v>273</v>
      </c>
      <c r="C467" s="252" t="s">
        <v>280</v>
      </c>
      <c r="D467" s="253">
        <v>45838</v>
      </c>
      <c r="E467" s="253">
        <v>45838</v>
      </c>
      <c r="F467" s="252" t="s">
        <v>281</v>
      </c>
      <c r="G467" s="252" t="s">
        <v>275</v>
      </c>
      <c r="H467" s="252"/>
      <c r="I467" s="252">
        <v>132</v>
      </c>
      <c r="J467" s="252" t="s">
        <v>276</v>
      </c>
      <c r="K467" s="252">
        <v>1533010002</v>
      </c>
      <c r="L467" s="98"/>
      <c r="M467" s="98"/>
      <c r="N467" s="98"/>
      <c r="O467" s="98"/>
      <c r="P467" s="98"/>
      <c r="Q467" s="98"/>
      <c r="R467" s="98"/>
      <c r="S467" s="98"/>
      <c r="T467" s="100">
        <v>-1231430</v>
      </c>
      <c r="U467" s="252" t="s">
        <v>277</v>
      </c>
      <c r="V467" s="98"/>
      <c r="W467" s="98"/>
      <c r="X467" s="98"/>
      <c r="Y467" s="98"/>
      <c r="Z467" s="98"/>
      <c r="AA467" s="98"/>
      <c r="AB467" s="98"/>
      <c r="AC467" s="252" t="s">
        <v>278</v>
      </c>
      <c r="AD467" s="98"/>
      <c r="AE467" s="98"/>
      <c r="AF467" s="98">
        <v>20250630</v>
      </c>
      <c r="AG467" s="98"/>
      <c r="AH467" s="98"/>
      <c r="AI467" s="98">
        <v>20250630</v>
      </c>
      <c r="AJ467" s="98">
        <v>8600021839</v>
      </c>
      <c r="AK467" s="254"/>
      <c r="AL467" s="98"/>
      <c r="AM467" s="252" t="s">
        <v>288</v>
      </c>
      <c r="AO467" s="234">
        <v>0</v>
      </c>
      <c r="AP467" s="232">
        <f t="shared" si="17"/>
        <v>1231430</v>
      </c>
      <c r="AQ467" s="230">
        <f t="shared" si="18"/>
        <v>6</v>
      </c>
    </row>
    <row r="468" spans="1:43" ht="14.4">
      <c r="A468" s="252">
        <v>1</v>
      </c>
      <c r="B468" s="252" t="s">
        <v>273</v>
      </c>
      <c r="C468" s="252" t="s">
        <v>280</v>
      </c>
      <c r="D468" s="253">
        <v>45838</v>
      </c>
      <c r="E468" s="253">
        <v>45838</v>
      </c>
      <c r="F468" s="252" t="s">
        <v>281</v>
      </c>
      <c r="G468" s="252" t="s">
        <v>275</v>
      </c>
      <c r="H468" s="252"/>
      <c r="I468" s="252">
        <v>133</v>
      </c>
      <c r="J468" s="252" t="s">
        <v>276</v>
      </c>
      <c r="K468" s="252">
        <v>1533010002</v>
      </c>
      <c r="L468" s="98"/>
      <c r="M468" s="98"/>
      <c r="N468" s="98"/>
      <c r="O468" s="98"/>
      <c r="P468" s="98"/>
      <c r="Q468" s="98"/>
      <c r="R468" s="98"/>
      <c r="S468" s="98"/>
      <c r="T468" s="100">
        <v>-4627095</v>
      </c>
      <c r="U468" s="252" t="s">
        <v>277</v>
      </c>
      <c r="V468" s="98"/>
      <c r="W468" s="98"/>
      <c r="X468" s="98"/>
      <c r="Y468" s="98"/>
      <c r="Z468" s="98"/>
      <c r="AA468" s="98"/>
      <c r="AB468" s="98"/>
      <c r="AC468" s="252" t="s">
        <v>278</v>
      </c>
      <c r="AD468" s="98"/>
      <c r="AE468" s="98"/>
      <c r="AF468" s="98">
        <v>20250630</v>
      </c>
      <c r="AG468" s="98"/>
      <c r="AH468" s="98"/>
      <c r="AI468" s="98">
        <v>20250630</v>
      </c>
      <c r="AJ468" s="98">
        <v>8000887022</v>
      </c>
      <c r="AK468" s="254"/>
      <c r="AL468" s="98"/>
      <c r="AM468" s="252" t="s">
        <v>292</v>
      </c>
      <c r="AO468" s="234" t="s">
        <v>108</v>
      </c>
      <c r="AP468" s="232">
        <f>+ABS(T468)</f>
        <v>4627095</v>
      </c>
      <c r="AQ468" s="230">
        <f t="shared" si="18"/>
        <v>6</v>
      </c>
    </row>
    <row r="469" spans="1:43" ht="14.4">
      <c r="A469" s="252">
        <v>1</v>
      </c>
      <c r="B469" s="252" t="s">
        <v>273</v>
      </c>
      <c r="C469" s="252" t="s">
        <v>280</v>
      </c>
      <c r="D469" s="253">
        <v>45838</v>
      </c>
      <c r="E469" s="253">
        <v>45838</v>
      </c>
      <c r="F469" s="252" t="s">
        <v>281</v>
      </c>
      <c r="G469" s="252" t="s">
        <v>275</v>
      </c>
      <c r="H469" s="252"/>
      <c r="I469" s="252">
        <v>134</v>
      </c>
      <c r="J469" s="252" t="s">
        <v>276</v>
      </c>
      <c r="K469" s="252">
        <v>1533010002</v>
      </c>
      <c r="L469" s="98"/>
      <c r="M469" s="98"/>
      <c r="N469" s="98"/>
      <c r="O469" s="98"/>
      <c r="P469" s="98"/>
      <c r="Q469" s="98"/>
      <c r="R469" s="98"/>
      <c r="S469" s="98"/>
      <c r="T469" s="100">
        <v>-616164</v>
      </c>
      <c r="U469" s="252" t="s">
        <v>277</v>
      </c>
      <c r="V469" s="98"/>
      <c r="W469" s="98"/>
      <c r="X469" s="98"/>
      <c r="Y469" s="98"/>
      <c r="Z469" s="98"/>
      <c r="AA469" s="98"/>
      <c r="AB469" s="98"/>
      <c r="AC469" s="252" t="s">
        <v>278</v>
      </c>
      <c r="AD469" s="98"/>
      <c r="AE469" s="98"/>
      <c r="AF469" s="98">
        <v>20250630</v>
      </c>
      <c r="AG469" s="98"/>
      <c r="AH469" s="98"/>
      <c r="AI469" s="98">
        <v>20250630</v>
      </c>
      <c r="AJ469" s="98">
        <v>8300035647</v>
      </c>
      <c r="AK469" s="254"/>
      <c r="AL469" s="98"/>
      <c r="AM469" s="252" t="s">
        <v>286</v>
      </c>
      <c r="AO469" s="234" t="s">
        <v>109</v>
      </c>
      <c r="AP469" s="232">
        <f>+ABS(T469)</f>
        <v>616164</v>
      </c>
      <c r="AQ469" s="230">
        <f t="shared" si="18"/>
        <v>6</v>
      </c>
    </row>
    <row r="470" spans="1:43" ht="14.4">
      <c r="A470" s="252">
        <v>1</v>
      </c>
      <c r="B470" s="252" t="s">
        <v>273</v>
      </c>
      <c r="C470" s="252" t="s">
        <v>280</v>
      </c>
      <c r="D470" s="253">
        <v>45838</v>
      </c>
      <c r="E470" s="253">
        <v>45838</v>
      </c>
      <c r="F470" s="252" t="s">
        <v>281</v>
      </c>
      <c r="G470" s="252" t="s">
        <v>275</v>
      </c>
      <c r="H470" s="252"/>
      <c r="I470" s="252">
        <v>135</v>
      </c>
      <c r="J470" s="252" t="s">
        <v>276</v>
      </c>
      <c r="K470" s="252">
        <v>1533010002</v>
      </c>
      <c r="L470" s="98"/>
      <c r="M470" s="98"/>
      <c r="N470" s="98"/>
      <c r="O470" s="98"/>
      <c r="P470" s="98"/>
      <c r="Q470" s="98"/>
      <c r="R470" s="98"/>
      <c r="S470" s="98"/>
      <c r="T470" s="100">
        <v>-13190804</v>
      </c>
      <c r="U470" s="252" t="s">
        <v>277</v>
      </c>
      <c r="V470" s="98"/>
      <c r="W470" s="98"/>
      <c r="X470" s="98"/>
      <c r="Y470" s="98"/>
      <c r="Z470" s="98"/>
      <c r="AA470" s="98"/>
      <c r="AB470" s="98"/>
      <c r="AC470" s="252" t="s">
        <v>278</v>
      </c>
      <c r="AD470" s="98"/>
      <c r="AE470" s="98"/>
      <c r="AF470" s="98">
        <v>20250630</v>
      </c>
      <c r="AG470" s="98"/>
      <c r="AH470" s="98"/>
      <c r="AI470" s="98">
        <v>20250630</v>
      </c>
      <c r="AJ470" s="98">
        <v>8002514406</v>
      </c>
      <c r="AK470" s="254"/>
      <c r="AL470" s="98"/>
      <c r="AM470" s="252" t="s">
        <v>283</v>
      </c>
      <c r="AO470" s="234" t="s">
        <v>115</v>
      </c>
      <c r="AP470" s="232">
        <f>+ABS(T470)</f>
        <v>13190804</v>
      </c>
      <c r="AQ470" s="230">
        <f t="shared" si="18"/>
        <v>6</v>
      </c>
    </row>
    <row r="471" spans="1:43" ht="14.4">
      <c r="A471" s="252">
        <v>1</v>
      </c>
      <c r="B471" s="252" t="s">
        <v>273</v>
      </c>
      <c r="C471" s="252" t="s">
        <v>280</v>
      </c>
      <c r="D471" s="253">
        <v>45838</v>
      </c>
      <c r="E471" s="253">
        <v>45838</v>
      </c>
      <c r="F471" s="252" t="s">
        <v>281</v>
      </c>
      <c r="G471" s="252" t="s">
        <v>275</v>
      </c>
      <c r="H471" s="252"/>
      <c r="I471" s="252">
        <v>136</v>
      </c>
      <c r="J471" s="252" t="s">
        <v>276</v>
      </c>
      <c r="K471" s="252">
        <v>1533010002</v>
      </c>
      <c r="L471" s="98"/>
      <c r="M471" s="98"/>
      <c r="N471" s="98"/>
      <c r="O471" s="98"/>
      <c r="P471" s="98"/>
      <c r="Q471" s="98"/>
      <c r="R471" s="98"/>
      <c r="S471" s="98"/>
      <c r="T471" s="100">
        <v>-808850</v>
      </c>
      <c r="U471" s="252" t="s">
        <v>277</v>
      </c>
      <c r="V471" s="98"/>
      <c r="W471" s="98"/>
      <c r="X471" s="98"/>
      <c r="Y471" s="98"/>
      <c r="Z471" s="98"/>
      <c r="AA471" s="98"/>
      <c r="AB471" s="98"/>
      <c r="AC471" s="252" t="s">
        <v>278</v>
      </c>
      <c r="AD471" s="98"/>
      <c r="AE471" s="98"/>
      <c r="AF471" s="98">
        <v>20250630</v>
      </c>
      <c r="AG471" s="98"/>
      <c r="AH471" s="98"/>
      <c r="AI471" s="98">
        <v>20250630</v>
      </c>
      <c r="AJ471" s="98">
        <v>8300035647</v>
      </c>
      <c r="AK471" s="254"/>
      <c r="AL471" s="98"/>
      <c r="AM471" s="252" t="s">
        <v>286</v>
      </c>
      <c r="AO471" s="234" t="s">
        <v>109</v>
      </c>
      <c r="AP471" s="232">
        <f>+ABS(T471)</f>
        <v>808850</v>
      </c>
      <c r="AQ471" s="230">
        <f t="shared" si="18"/>
        <v>6</v>
      </c>
    </row>
    <row r="472" spans="1:43">
      <c r="A472" s="254">
        <v>1</v>
      </c>
      <c r="B472" s="254" t="s">
        <v>273</v>
      </c>
      <c r="C472" s="254" t="s">
        <v>280</v>
      </c>
      <c r="D472" s="255">
        <v>45869</v>
      </c>
      <c r="E472" s="255">
        <v>45869</v>
      </c>
      <c r="F472" s="254" t="s">
        <v>281</v>
      </c>
      <c r="G472" s="254" t="s">
        <v>275</v>
      </c>
      <c r="H472" s="254"/>
      <c r="I472" s="254">
        <v>76</v>
      </c>
      <c r="J472" s="254" t="s">
        <v>276</v>
      </c>
      <c r="K472" s="254">
        <v>1533010002</v>
      </c>
      <c r="L472" s="256"/>
      <c r="M472" s="256"/>
      <c r="N472" s="256"/>
      <c r="O472" s="256"/>
      <c r="P472" s="256"/>
      <c r="Q472" s="256"/>
      <c r="R472" s="256"/>
      <c r="S472" s="256"/>
      <c r="T472" s="257">
        <v>-4027234</v>
      </c>
      <c r="U472" s="254" t="s">
        <v>277</v>
      </c>
      <c r="V472" s="256"/>
      <c r="W472" s="256"/>
      <c r="X472" s="256"/>
      <c r="Y472" s="256"/>
      <c r="Z472" s="256"/>
      <c r="AA472" s="256"/>
      <c r="AB472" s="256"/>
      <c r="AC472" s="254" t="s">
        <v>278</v>
      </c>
      <c r="AD472" s="256"/>
      <c r="AE472" s="256"/>
      <c r="AF472" s="256">
        <v>20250731</v>
      </c>
      <c r="AG472" s="256"/>
      <c r="AH472" s="256"/>
      <c r="AI472" s="256">
        <v>20250731</v>
      </c>
      <c r="AJ472" s="254">
        <v>8301138310</v>
      </c>
      <c r="AK472" s="254"/>
      <c r="AL472" s="256"/>
      <c r="AM472" s="254" t="s">
        <v>287</v>
      </c>
      <c r="AO472" s="234">
        <v>0</v>
      </c>
      <c r="AP472" s="232">
        <f t="shared" ref="AP472:AP535" si="19">+ABS(T472)</f>
        <v>4027234</v>
      </c>
      <c r="AQ472" s="230">
        <f t="shared" si="18"/>
        <v>7</v>
      </c>
    </row>
    <row r="473" spans="1:43">
      <c r="A473" s="254">
        <v>1</v>
      </c>
      <c r="B473" s="254" t="s">
        <v>273</v>
      </c>
      <c r="C473" s="254" t="s">
        <v>280</v>
      </c>
      <c r="D473" s="255">
        <v>45869</v>
      </c>
      <c r="E473" s="255">
        <v>45869</v>
      </c>
      <c r="F473" s="254" t="s">
        <v>281</v>
      </c>
      <c r="G473" s="254" t="s">
        <v>275</v>
      </c>
      <c r="H473" s="254"/>
      <c r="I473" s="254">
        <v>77</v>
      </c>
      <c r="J473" s="254" t="s">
        <v>276</v>
      </c>
      <c r="K473" s="254">
        <v>1533010002</v>
      </c>
      <c r="L473" s="256"/>
      <c r="M473" s="256"/>
      <c r="N473" s="256"/>
      <c r="O473" s="256"/>
      <c r="P473" s="256"/>
      <c r="Q473" s="256"/>
      <c r="R473" s="256"/>
      <c r="S473" s="256"/>
      <c r="T473" s="257">
        <v>-397517</v>
      </c>
      <c r="U473" s="254" t="s">
        <v>277</v>
      </c>
      <c r="V473" s="256"/>
      <c r="W473" s="256"/>
      <c r="X473" s="256"/>
      <c r="Y473" s="256"/>
      <c r="Z473" s="256"/>
      <c r="AA473" s="256"/>
      <c r="AB473" s="256"/>
      <c r="AC473" s="254" t="s">
        <v>278</v>
      </c>
      <c r="AD473" s="256"/>
      <c r="AE473" s="256"/>
      <c r="AF473" s="256">
        <v>20250731</v>
      </c>
      <c r="AG473" s="256"/>
      <c r="AH473" s="256"/>
      <c r="AI473" s="256">
        <v>20250731</v>
      </c>
      <c r="AJ473" s="254">
        <v>8002514406</v>
      </c>
      <c r="AK473" s="254"/>
      <c r="AL473" s="256"/>
      <c r="AM473" s="254" t="s">
        <v>283</v>
      </c>
      <c r="AO473" s="234" t="s">
        <v>115</v>
      </c>
      <c r="AP473" s="232">
        <f t="shared" si="19"/>
        <v>397517</v>
      </c>
      <c r="AQ473" s="230">
        <f t="shared" si="18"/>
        <v>7</v>
      </c>
    </row>
    <row r="474" spans="1:43">
      <c r="A474" s="254">
        <v>1</v>
      </c>
      <c r="B474" s="254" t="s">
        <v>273</v>
      </c>
      <c r="C474" s="254" t="s">
        <v>280</v>
      </c>
      <c r="D474" s="255">
        <v>45869</v>
      </c>
      <c r="E474" s="255">
        <v>45869</v>
      </c>
      <c r="F474" s="254" t="s">
        <v>281</v>
      </c>
      <c r="G474" s="254" t="s">
        <v>275</v>
      </c>
      <c r="H474" s="254"/>
      <c r="I474" s="254">
        <v>78</v>
      </c>
      <c r="J474" s="254" t="s">
        <v>276</v>
      </c>
      <c r="K474" s="254">
        <v>1533010002</v>
      </c>
      <c r="L474" s="256"/>
      <c r="M474" s="256"/>
      <c r="N474" s="256"/>
      <c r="O474" s="256"/>
      <c r="P474" s="256"/>
      <c r="Q474" s="256"/>
      <c r="R474" s="256"/>
      <c r="S474" s="256"/>
      <c r="T474" s="257">
        <v>-1423500</v>
      </c>
      <c r="U474" s="254" t="s">
        <v>277</v>
      </c>
      <c r="V474" s="256"/>
      <c r="W474" s="256"/>
      <c r="X474" s="256"/>
      <c r="Y474" s="256"/>
      <c r="Z474" s="256"/>
      <c r="AA474" s="256"/>
      <c r="AB474" s="256"/>
      <c r="AC474" s="254" t="s">
        <v>278</v>
      </c>
      <c r="AD474" s="256"/>
      <c r="AE474" s="256"/>
      <c r="AF474" s="256">
        <v>20250731</v>
      </c>
      <c r="AG474" s="256"/>
      <c r="AH474" s="256"/>
      <c r="AI474" s="256">
        <v>20250731</v>
      </c>
      <c r="AJ474" s="254">
        <v>8002492410</v>
      </c>
      <c r="AK474" s="254"/>
      <c r="AL474" s="256"/>
      <c r="AM474" s="254" t="s">
        <v>297</v>
      </c>
      <c r="AO474" s="234">
        <v>0</v>
      </c>
      <c r="AP474" s="232">
        <f t="shared" si="19"/>
        <v>1423500</v>
      </c>
      <c r="AQ474" s="230">
        <f t="shared" si="18"/>
        <v>7</v>
      </c>
    </row>
    <row r="475" spans="1:43">
      <c r="A475" s="254">
        <v>1</v>
      </c>
      <c r="B475" s="254" t="s">
        <v>273</v>
      </c>
      <c r="C475" s="254" t="s">
        <v>280</v>
      </c>
      <c r="D475" s="255">
        <v>45869</v>
      </c>
      <c r="E475" s="255">
        <v>45869</v>
      </c>
      <c r="F475" s="254" t="s">
        <v>281</v>
      </c>
      <c r="G475" s="254" t="s">
        <v>275</v>
      </c>
      <c r="H475" s="254"/>
      <c r="I475" s="254">
        <v>79</v>
      </c>
      <c r="J475" s="254" t="s">
        <v>276</v>
      </c>
      <c r="K475" s="254">
        <v>1533010002</v>
      </c>
      <c r="L475" s="256"/>
      <c r="M475" s="256"/>
      <c r="N475" s="256"/>
      <c r="O475" s="256"/>
      <c r="P475" s="256"/>
      <c r="Q475" s="256"/>
      <c r="R475" s="256"/>
      <c r="S475" s="256"/>
      <c r="T475" s="257">
        <v>-346672</v>
      </c>
      <c r="U475" s="254" t="s">
        <v>277</v>
      </c>
      <c r="V475" s="256"/>
      <c r="W475" s="256"/>
      <c r="X475" s="256"/>
      <c r="Y475" s="256"/>
      <c r="Z475" s="256"/>
      <c r="AA475" s="256"/>
      <c r="AB475" s="256"/>
      <c r="AC475" s="254" t="s">
        <v>278</v>
      </c>
      <c r="AD475" s="256"/>
      <c r="AE475" s="256"/>
      <c r="AF475" s="256">
        <v>20250731</v>
      </c>
      <c r="AG475" s="256"/>
      <c r="AH475" s="256"/>
      <c r="AI475" s="256">
        <v>20250731</v>
      </c>
      <c r="AJ475" s="254">
        <v>9009142541</v>
      </c>
      <c r="AK475" s="254"/>
      <c r="AL475" s="256"/>
      <c r="AM475" s="254" t="s">
        <v>296</v>
      </c>
      <c r="AO475" s="234">
        <v>0</v>
      </c>
      <c r="AP475" s="232">
        <f t="shared" si="19"/>
        <v>346672</v>
      </c>
      <c r="AQ475" s="230">
        <f t="shared" si="18"/>
        <v>7</v>
      </c>
    </row>
    <row r="476" spans="1:43">
      <c r="A476" s="254">
        <v>1</v>
      </c>
      <c r="B476" s="254" t="s">
        <v>273</v>
      </c>
      <c r="C476" s="254" t="s">
        <v>280</v>
      </c>
      <c r="D476" s="255">
        <v>45869</v>
      </c>
      <c r="E476" s="255">
        <v>45869</v>
      </c>
      <c r="F476" s="254" t="s">
        <v>281</v>
      </c>
      <c r="G476" s="254" t="s">
        <v>275</v>
      </c>
      <c r="H476" s="254"/>
      <c r="I476" s="254">
        <v>80</v>
      </c>
      <c r="J476" s="254" t="s">
        <v>276</v>
      </c>
      <c r="K476" s="254">
        <v>1533010002</v>
      </c>
      <c r="L476" s="256"/>
      <c r="M476" s="256"/>
      <c r="N476" s="256"/>
      <c r="O476" s="256"/>
      <c r="P476" s="256"/>
      <c r="Q476" s="256"/>
      <c r="R476" s="256"/>
      <c r="S476" s="256"/>
      <c r="T476" s="257">
        <v>-260251</v>
      </c>
      <c r="U476" s="254" t="s">
        <v>277</v>
      </c>
      <c r="V476" s="256"/>
      <c r="W476" s="256"/>
      <c r="X476" s="256"/>
      <c r="Y476" s="256"/>
      <c r="Z476" s="256"/>
      <c r="AA476" s="256"/>
      <c r="AB476" s="256"/>
      <c r="AC476" s="254" t="s">
        <v>278</v>
      </c>
      <c r="AD476" s="256"/>
      <c r="AE476" s="256"/>
      <c r="AF476" s="256">
        <v>20250731</v>
      </c>
      <c r="AG476" s="256"/>
      <c r="AH476" s="256"/>
      <c r="AI476" s="256">
        <v>20250731</v>
      </c>
      <c r="AJ476" s="254">
        <v>8600669427</v>
      </c>
      <c r="AK476" s="254"/>
      <c r="AL476" s="256"/>
      <c r="AM476" s="254" t="s">
        <v>289</v>
      </c>
      <c r="AO476" s="234" t="s">
        <v>101</v>
      </c>
      <c r="AP476" s="232">
        <f t="shared" si="19"/>
        <v>260251</v>
      </c>
      <c r="AQ476" s="230">
        <f t="shared" si="18"/>
        <v>7</v>
      </c>
    </row>
    <row r="477" spans="1:43">
      <c r="A477" s="254">
        <v>1</v>
      </c>
      <c r="B477" s="254" t="s">
        <v>273</v>
      </c>
      <c r="C477" s="254" t="s">
        <v>280</v>
      </c>
      <c r="D477" s="255">
        <v>45869</v>
      </c>
      <c r="E477" s="255">
        <v>45869</v>
      </c>
      <c r="F477" s="254" t="s">
        <v>281</v>
      </c>
      <c r="G477" s="254" t="s">
        <v>275</v>
      </c>
      <c r="H477" s="254"/>
      <c r="I477" s="254">
        <v>81</v>
      </c>
      <c r="J477" s="254" t="s">
        <v>276</v>
      </c>
      <c r="K477" s="254">
        <v>1533010002</v>
      </c>
      <c r="L477" s="256"/>
      <c r="M477" s="256"/>
      <c r="N477" s="256"/>
      <c r="O477" s="256"/>
      <c r="P477" s="256"/>
      <c r="Q477" s="256"/>
      <c r="R477" s="256"/>
      <c r="S477" s="256"/>
      <c r="T477" s="257">
        <v>-47450</v>
      </c>
      <c r="U477" s="254" t="s">
        <v>277</v>
      </c>
      <c r="V477" s="256"/>
      <c r="W477" s="256"/>
      <c r="X477" s="256"/>
      <c r="Y477" s="256"/>
      <c r="Z477" s="256"/>
      <c r="AA477" s="256"/>
      <c r="AB477" s="256"/>
      <c r="AC477" s="254" t="s">
        <v>278</v>
      </c>
      <c r="AD477" s="256"/>
      <c r="AE477" s="256"/>
      <c r="AF477" s="256">
        <v>20250731</v>
      </c>
      <c r="AG477" s="256"/>
      <c r="AH477" s="256"/>
      <c r="AI477" s="256">
        <v>20250731</v>
      </c>
      <c r="AJ477" s="254">
        <v>8002492410</v>
      </c>
      <c r="AK477" s="254"/>
      <c r="AL477" s="256"/>
      <c r="AM477" s="254" t="s">
        <v>297</v>
      </c>
      <c r="AO477" s="234">
        <v>0</v>
      </c>
      <c r="AP477" s="232">
        <f t="shared" si="19"/>
        <v>47450</v>
      </c>
      <c r="AQ477" s="230">
        <f t="shared" si="18"/>
        <v>7</v>
      </c>
    </row>
    <row r="478" spans="1:43">
      <c r="A478" s="254">
        <v>1</v>
      </c>
      <c r="B478" s="254" t="s">
        <v>273</v>
      </c>
      <c r="C478" s="254" t="s">
        <v>280</v>
      </c>
      <c r="D478" s="255">
        <v>45869</v>
      </c>
      <c r="E478" s="255">
        <v>45869</v>
      </c>
      <c r="F478" s="254" t="s">
        <v>281</v>
      </c>
      <c r="G478" s="254" t="s">
        <v>275</v>
      </c>
      <c r="H478" s="254"/>
      <c r="I478" s="254">
        <v>82</v>
      </c>
      <c r="J478" s="254" t="s">
        <v>276</v>
      </c>
      <c r="K478" s="254">
        <v>1533010002</v>
      </c>
      <c r="L478" s="256"/>
      <c r="M478" s="256"/>
      <c r="N478" s="256"/>
      <c r="O478" s="256"/>
      <c r="P478" s="256"/>
      <c r="Q478" s="256"/>
      <c r="R478" s="256"/>
      <c r="S478" s="256"/>
      <c r="T478" s="257">
        <v>-10716023</v>
      </c>
      <c r="U478" s="254" t="s">
        <v>277</v>
      </c>
      <c r="V478" s="256"/>
      <c r="W478" s="256"/>
      <c r="X478" s="256"/>
      <c r="Y478" s="256"/>
      <c r="Z478" s="256"/>
      <c r="AA478" s="256"/>
      <c r="AB478" s="256"/>
      <c r="AC478" s="254" t="s">
        <v>278</v>
      </c>
      <c r="AD478" s="256"/>
      <c r="AE478" s="256"/>
      <c r="AF478" s="256">
        <v>20250731</v>
      </c>
      <c r="AG478" s="256"/>
      <c r="AH478" s="256"/>
      <c r="AI478" s="256">
        <v>20250731</v>
      </c>
      <c r="AJ478" s="254">
        <v>8000887022</v>
      </c>
      <c r="AK478" s="254"/>
      <c r="AL478" s="256"/>
      <c r="AM478" s="254" t="s">
        <v>292</v>
      </c>
      <c r="AO478" s="234" t="s">
        <v>108</v>
      </c>
      <c r="AP478" s="232">
        <f t="shared" si="19"/>
        <v>10716023</v>
      </c>
      <c r="AQ478" s="230">
        <f t="shared" si="18"/>
        <v>7</v>
      </c>
    </row>
    <row r="479" spans="1:43">
      <c r="A479" s="254">
        <v>1</v>
      </c>
      <c r="B479" s="254" t="s">
        <v>273</v>
      </c>
      <c r="C479" s="254" t="s">
        <v>280</v>
      </c>
      <c r="D479" s="255">
        <v>45869</v>
      </c>
      <c r="E479" s="255">
        <v>45869</v>
      </c>
      <c r="F479" s="254" t="s">
        <v>281</v>
      </c>
      <c r="G479" s="254" t="s">
        <v>275</v>
      </c>
      <c r="H479" s="254"/>
      <c r="I479" s="254">
        <v>83</v>
      </c>
      <c r="J479" s="254" t="s">
        <v>276</v>
      </c>
      <c r="K479" s="254">
        <v>1533010002</v>
      </c>
      <c r="L479" s="256"/>
      <c r="M479" s="256"/>
      <c r="N479" s="256"/>
      <c r="O479" s="256"/>
      <c r="P479" s="256"/>
      <c r="Q479" s="256"/>
      <c r="R479" s="256"/>
      <c r="S479" s="256"/>
      <c r="T479" s="257">
        <v>-47450</v>
      </c>
      <c r="U479" s="254" t="s">
        <v>277</v>
      </c>
      <c r="V479" s="256"/>
      <c r="W479" s="256"/>
      <c r="X479" s="256"/>
      <c r="Y479" s="256"/>
      <c r="Z479" s="256"/>
      <c r="AA479" s="256"/>
      <c r="AB479" s="256"/>
      <c r="AC479" s="254" t="s">
        <v>278</v>
      </c>
      <c r="AD479" s="256"/>
      <c r="AE479" s="256"/>
      <c r="AF479" s="256">
        <v>20250731</v>
      </c>
      <c r="AG479" s="256"/>
      <c r="AH479" s="256"/>
      <c r="AI479" s="256">
        <v>20250731</v>
      </c>
      <c r="AJ479" s="254">
        <v>8060083947</v>
      </c>
      <c r="AK479" s="254"/>
      <c r="AL479" s="256"/>
      <c r="AM479" s="254" t="s">
        <v>298</v>
      </c>
      <c r="AO479" s="234">
        <v>0</v>
      </c>
      <c r="AP479" s="232">
        <f t="shared" si="19"/>
        <v>47450</v>
      </c>
      <c r="AQ479" s="230">
        <f t="shared" si="18"/>
        <v>7</v>
      </c>
    </row>
    <row r="480" spans="1:43">
      <c r="A480" s="254">
        <v>1</v>
      </c>
      <c r="B480" s="254" t="s">
        <v>273</v>
      </c>
      <c r="C480" s="254" t="s">
        <v>280</v>
      </c>
      <c r="D480" s="255">
        <v>45869</v>
      </c>
      <c r="E480" s="255">
        <v>45869</v>
      </c>
      <c r="F480" s="254" t="s">
        <v>281</v>
      </c>
      <c r="G480" s="254" t="s">
        <v>275</v>
      </c>
      <c r="H480" s="254"/>
      <c r="I480" s="254">
        <v>84</v>
      </c>
      <c r="J480" s="254" t="s">
        <v>276</v>
      </c>
      <c r="K480" s="254">
        <v>1533010002</v>
      </c>
      <c r="L480" s="256"/>
      <c r="M480" s="256"/>
      <c r="N480" s="256"/>
      <c r="O480" s="256"/>
      <c r="P480" s="256"/>
      <c r="Q480" s="256"/>
      <c r="R480" s="256"/>
      <c r="S480" s="256"/>
      <c r="T480" s="257">
        <v>-711750</v>
      </c>
      <c r="U480" s="254" t="s">
        <v>277</v>
      </c>
      <c r="V480" s="256"/>
      <c r="W480" s="256"/>
      <c r="X480" s="256"/>
      <c r="Y480" s="256"/>
      <c r="Z480" s="256"/>
      <c r="AA480" s="256"/>
      <c r="AB480" s="256"/>
      <c r="AC480" s="254" t="s">
        <v>278</v>
      </c>
      <c r="AD480" s="256"/>
      <c r="AE480" s="256"/>
      <c r="AF480" s="256">
        <v>20250731</v>
      </c>
      <c r="AG480" s="256"/>
      <c r="AH480" s="256"/>
      <c r="AI480" s="256">
        <v>20250731</v>
      </c>
      <c r="AJ480" s="254">
        <v>8060083947</v>
      </c>
      <c r="AK480" s="254"/>
      <c r="AL480" s="256"/>
      <c r="AM480" s="254" t="s">
        <v>293</v>
      </c>
      <c r="AO480" s="234">
        <v>0</v>
      </c>
      <c r="AP480" s="232">
        <f t="shared" si="19"/>
        <v>711750</v>
      </c>
      <c r="AQ480" s="230">
        <f t="shared" si="18"/>
        <v>7</v>
      </c>
    </row>
    <row r="481" spans="1:43">
      <c r="A481" s="254">
        <v>1</v>
      </c>
      <c r="B481" s="254" t="s">
        <v>273</v>
      </c>
      <c r="C481" s="254" t="s">
        <v>280</v>
      </c>
      <c r="D481" s="255">
        <v>45869</v>
      </c>
      <c r="E481" s="255">
        <v>45869</v>
      </c>
      <c r="F481" s="254" t="s">
        <v>281</v>
      </c>
      <c r="G481" s="254" t="s">
        <v>275</v>
      </c>
      <c r="H481" s="254"/>
      <c r="I481" s="254">
        <v>85</v>
      </c>
      <c r="J481" s="254" t="s">
        <v>276</v>
      </c>
      <c r="K481" s="254">
        <v>1533010002</v>
      </c>
      <c r="L481" s="256"/>
      <c r="M481" s="256"/>
      <c r="N481" s="256"/>
      <c r="O481" s="256"/>
      <c r="P481" s="256"/>
      <c r="Q481" s="256"/>
      <c r="R481" s="256"/>
      <c r="S481" s="256"/>
      <c r="T481" s="257">
        <v>-1894809</v>
      </c>
      <c r="U481" s="254" t="s">
        <v>277</v>
      </c>
      <c r="V481" s="256"/>
      <c r="W481" s="256"/>
      <c r="X481" s="256"/>
      <c r="Y481" s="256"/>
      <c r="Z481" s="256"/>
      <c r="AA481" s="256"/>
      <c r="AB481" s="256"/>
      <c r="AC481" s="254" t="s">
        <v>278</v>
      </c>
      <c r="AD481" s="256"/>
      <c r="AE481" s="256"/>
      <c r="AF481" s="256">
        <v>20250731</v>
      </c>
      <c r="AG481" s="256"/>
      <c r="AH481" s="256"/>
      <c r="AI481" s="256">
        <v>20250731</v>
      </c>
      <c r="AJ481" s="254">
        <v>8000887022</v>
      </c>
      <c r="AK481" s="254"/>
      <c r="AL481" s="256"/>
      <c r="AM481" s="254" t="s">
        <v>292</v>
      </c>
      <c r="AO481" s="234" t="s">
        <v>108</v>
      </c>
      <c r="AP481" s="232">
        <f t="shared" si="19"/>
        <v>1894809</v>
      </c>
      <c r="AQ481" s="230">
        <f t="shared" si="18"/>
        <v>7</v>
      </c>
    </row>
    <row r="482" spans="1:43">
      <c r="A482" s="254">
        <v>1</v>
      </c>
      <c r="B482" s="254" t="s">
        <v>273</v>
      </c>
      <c r="C482" s="254" t="s">
        <v>280</v>
      </c>
      <c r="D482" s="255">
        <v>45869</v>
      </c>
      <c r="E482" s="255">
        <v>45869</v>
      </c>
      <c r="F482" s="254" t="s">
        <v>281</v>
      </c>
      <c r="G482" s="254" t="s">
        <v>275</v>
      </c>
      <c r="H482" s="254"/>
      <c r="I482" s="254">
        <v>86</v>
      </c>
      <c r="J482" s="254" t="s">
        <v>276</v>
      </c>
      <c r="K482" s="254">
        <v>1533010002</v>
      </c>
      <c r="L482" s="256"/>
      <c r="M482" s="256"/>
      <c r="N482" s="256"/>
      <c r="O482" s="256"/>
      <c r="P482" s="256"/>
      <c r="Q482" s="256"/>
      <c r="R482" s="256"/>
      <c r="S482" s="256"/>
      <c r="T482" s="257">
        <v>-4323482</v>
      </c>
      <c r="U482" s="254" t="s">
        <v>277</v>
      </c>
      <c r="V482" s="256"/>
      <c r="W482" s="256"/>
      <c r="X482" s="256"/>
      <c r="Y482" s="256"/>
      <c r="Z482" s="256"/>
      <c r="AA482" s="256"/>
      <c r="AB482" s="256"/>
      <c r="AC482" s="254" t="s">
        <v>278</v>
      </c>
      <c r="AD482" s="256"/>
      <c r="AE482" s="256"/>
      <c r="AF482" s="256">
        <v>20250731</v>
      </c>
      <c r="AG482" s="256"/>
      <c r="AH482" s="256"/>
      <c r="AI482" s="256">
        <v>20250731</v>
      </c>
      <c r="AJ482" s="254">
        <v>8002514406</v>
      </c>
      <c r="AK482" s="254"/>
      <c r="AL482" s="256"/>
      <c r="AM482" s="254" t="s">
        <v>283</v>
      </c>
      <c r="AO482" s="234" t="s">
        <v>115</v>
      </c>
      <c r="AP482" s="232">
        <f t="shared" si="19"/>
        <v>4323482</v>
      </c>
      <c r="AQ482" s="230">
        <f t="shared" si="18"/>
        <v>7</v>
      </c>
    </row>
    <row r="483" spans="1:43">
      <c r="A483" s="254">
        <v>1</v>
      </c>
      <c r="B483" s="254" t="s">
        <v>273</v>
      </c>
      <c r="C483" s="254" t="s">
        <v>280</v>
      </c>
      <c r="D483" s="255">
        <v>45869</v>
      </c>
      <c r="E483" s="255">
        <v>45869</v>
      </c>
      <c r="F483" s="254" t="s">
        <v>281</v>
      </c>
      <c r="G483" s="254" t="s">
        <v>275</v>
      </c>
      <c r="H483" s="254"/>
      <c r="I483" s="254">
        <v>87</v>
      </c>
      <c r="J483" s="254" t="s">
        <v>276</v>
      </c>
      <c r="K483" s="254">
        <v>1533010002</v>
      </c>
      <c r="L483" s="256"/>
      <c r="M483" s="256"/>
      <c r="N483" s="256"/>
      <c r="O483" s="256"/>
      <c r="P483" s="256"/>
      <c r="Q483" s="256"/>
      <c r="R483" s="256"/>
      <c r="S483" s="256"/>
      <c r="T483" s="257">
        <v>-2188526</v>
      </c>
      <c r="U483" s="254" t="s">
        <v>277</v>
      </c>
      <c r="V483" s="256"/>
      <c r="W483" s="256"/>
      <c r="X483" s="256"/>
      <c r="Y483" s="256"/>
      <c r="Z483" s="256"/>
      <c r="AA483" s="256"/>
      <c r="AB483" s="256"/>
      <c r="AC483" s="254" t="s">
        <v>278</v>
      </c>
      <c r="AD483" s="256"/>
      <c r="AE483" s="256"/>
      <c r="AF483" s="256">
        <v>20250731</v>
      </c>
      <c r="AG483" s="256"/>
      <c r="AH483" s="256"/>
      <c r="AI483" s="256">
        <v>20250731</v>
      </c>
      <c r="AJ483" s="254">
        <v>8600021839</v>
      </c>
      <c r="AK483" s="254"/>
      <c r="AL483" s="256"/>
      <c r="AM483" s="254" t="s">
        <v>288</v>
      </c>
      <c r="AO483" s="234">
        <v>0</v>
      </c>
      <c r="AP483" s="232">
        <f t="shared" si="19"/>
        <v>2188526</v>
      </c>
      <c r="AQ483" s="230">
        <f t="shared" si="18"/>
        <v>7</v>
      </c>
    </row>
    <row r="484" spans="1:43">
      <c r="A484" s="254">
        <v>1</v>
      </c>
      <c r="B484" s="254" t="s">
        <v>273</v>
      </c>
      <c r="C484" s="254" t="s">
        <v>280</v>
      </c>
      <c r="D484" s="255">
        <v>45869</v>
      </c>
      <c r="E484" s="255">
        <v>45869</v>
      </c>
      <c r="F484" s="254" t="s">
        <v>281</v>
      </c>
      <c r="G484" s="254" t="s">
        <v>275</v>
      </c>
      <c r="H484" s="254"/>
      <c r="I484" s="254">
        <v>88</v>
      </c>
      <c r="J484" s="254" t="s">
        <v>276</v>
      </c>
      <c r="K484" s="254">
        <v>1533010002</v>
      </c>
      <c r="L484" s="256"/>
      <c r="M484" s="256"/>
      <c r="N484" s="256"/>
      <c r="O484" s="256"/>
      <c r="P484" s="256"/>
      <c r="Q484" s="256"/>
      <c r="R484" s="256"/>
      <c r="S484" s="256"/>
      <c r="T484" s="257">
        <v>-814414</v>
      </c>
      <c r="U484" s="254" t="s">
        <v>277</v>
      </c>
      <c r="V484" s="256"/>
      <c r="W484" s="256"/>
      <c r="X484" s="256"/>
      <c r="Y484" s="256"/>
      <c r="Z484" s="256"/>
      <c r="AA484" s="256"/>
      <c r="AB484" s="256"/>
      <c r="AC484" s="254" t="s">
        <v>278</v>
      </c>
      <c r="AD484" s="256"/>
      <c r="AE484" s="256"/>
      <c r="AF484" s="256">
        <v>20250731</v>
      </c>
      <c r="AG484" s="256"/>
      <c r="AH484" s="256"/>
      <c r="AI484" s="256">
        <v>20250731</v>
      </c>
      <c r="AJ484" s="254">
        <v>8002514406</v>
      </c>
      <c r="AK484" s="254"/>
      <c r="AL484" s="256"/>
      <c r="AM484" s="254" t="s">
        <v>283</v>
      </c>
      <c r="AO484" s="234" t="s">
        <v>115</v>
      </c>
      <c r="AP484" s="232">
        <f t="shared" si="19"/>
        <v>814414</v>
      </c>
      <c r="AQ484" s="230">
        <f t="shared" si="18"/>
        <v>7</v>
      </c>
    </row>
    <row r="485" spans="1:43">
      <c r="A485" s="254">
        <v>1</v>
      </c>
      <c r="B485" s="254" t="s">
        <v>273</v>
      </c>
      <c r="C485" s="254" t="s">
        <v>280</v>
      </c>
      <c r="D485" s="255">
        <v>45869</v>
      </c>
      <c r="E485" s="255">
        <v>45869</v>
      </c>
      <c r="F485" s="254" t="s">
        <v>281</v>
      </c>
      <c r="G485" s="254" t="s">
        <v>275</v>
      </c>
      <c r="H485" s="254"/>
      <c r="I485" s="254">
        <v>89</v>
      </c>
      <c r="J485" s="254" t="s">
        <v>276</v>
      </c>
      <c r="K485" s="254">
        <v>1533010002</v>
      </c>
      <c r="L485" s="256"/>
      <c r="M485" s="256"/>
      <c r="N485" s="256"/>
      <c r="O485" s="256"/>
      <c r="P485" s="256"/>
      <c r="Q485" s="256"/>
      <c r="R485" s="256"/>
      <c r="S485" s="256"/>
      <c r="T485" s="257">
        <v>-1999565</v>
      </c>
      <c r="U485" s="254" t="s">
        <v>277</v>
      </c>
      <c r="V485" s="256"/>
      <c r="W485" s="256"/>
      <c r="X485" s="256"/>
      <c r="Y485" s="256"/>
      <c r="Z485" s="256"/>
      <c r="AA485" s="256"/>
      <c r="AB485" s="256"/>
      <c r="AC485" s="254" t="s">
        <v>278</v>
      </c>
      <c r="AD485" s="256"/>
      <c r="AE485" s="256"/>
      <c r="AF485" s="256">
        <v>20250731</v>
      </c>
      <c r="AG485" s="256"/>
      <c r="AH485" s="256"/>
      <c r="AI485" s="256">
        <v>20250731</v>
      </c>
      <c r="AJ485" s="254">
        <v>8300035647</v>
      </c>
      <c r="AK485" s="254"/>
      <c r="AL485" s="256"/>
      <c r="AM485" s="254" t="s">
        <v>286</v>
      </c>
      <c r="AO485" s="234" t="s">
        <v>109</v>
      </c>
      <c r="AP485" s="232">
        <f t="shared" si="19"/>
        <v>1999565</v>
      </c>
      <c r="AQ485" s="230">
        <f t="shared" si="18"/>
        <v>7</v>
      </c>
    </row>
    <row r="486" spans="1:43">
      <c r="A486" s="254">
        <v>1</v>
      </c>
      <c r="B486" s="254" t="s">
        <v>273</v>
      </c>
      <c r="C486" s="254" t="s">
        <v>280</v>
      </c>
      <c r="D486" s="255">
        <v>45869</v>
      </c>
      <c r="E486" s="255">
        <v>45869</v>
      </c>
      <c r="F486" s="254" t="s">
        <v>281</v>
      </c>
      <c r="G486" s="254" t="s">
        <v>275</v>
      </c>
      <c r="H486" s="254"/>
      <c r="I486" s="254">
        <v>90</v>
      </c>
      <c r="J486" s="254" t="s">
        <v>276</v>
      </c>
      <c r="K486" s="254">
        <v>1533010002</v>
      </c>
      <c r="L486" s="256"/>
      <c r="M486" s="256"/>
      <c r="N486" s="256"/>
      <c r="O486" s="256"/>
      <c r="P486" s="256"/>
      <c r="Q486" s="256"/>
      <c r="R486" s="256"/>
      <c r="S486" s="256"/>
      <c r="T486" s="257">
        <v>-47450</v>
      </c>
      <c r="U486" s="254" t="s">
        <v>277</v>
      </c>
      <c r="V486" s="256"/>
      <c r="W486" s="256"/>
      <c r="X486" s="256"/>
      <c r="Y486" s="256"/>
      <c r="Z486" s="256"/>
      <c r="AA486" s="256"/>
      <c r="AB486" s="256"/>
      <c r="AC486" s="254" t="s">
        <v>278</v>
      </c>
      <c r="AD486" s="256"/>
      <c r="AE486" s="256"/>
      <c r="AF486" s="256">
        <v>20250731</v>
      </c>
      <c r="AG486" s="256"/>
      <c r="AH486" s="256"/>
      <c r="AI486" s="256">
        <v>20250731</v>
      </c>
      <c r="AJ486" s="254">
        <v>8600669427</v>
      </c>
      <c r="AK486" s="254"/>
      <c r="AL486" s="256"/>
      <c r="AM486" s="254" t="s">
        <v>289</v>
      </c>
      <c r="AO486" s="234" t="s">
        <v>101</v>
      </c>
      <c r="AP486" s="232">
        <f t="shared" si="19"/>
        <v>47450</v>
      </c>
      <c r="AQ486" s="230">
        <f t="shared" si="18"/>
        <v>7</v>
      </c>
    </row>
    <row r="487" spans="1:43">
      <c r="A487" s="254">
        <v>1</v>
      </c>
      <c r="B487" s="254" t="s">
        <v>273</v>
      </c>
      <c r="C487" s="254" t="s">
        <v>280</v>
      </c>
      <c r="D487" s="255">
        <v>45869</v>
      </c>
      <c r="E487" s="255">
        <v>45869</v>
      </c>
      <c r="F487" s="254" t="s">
        <v>281</v>
      </c>
      <c r="G487" s="254" t="s">
        <v>275</v>
      </c>
      <c r="H487" s="254"/>
      <c r="I487" s="254">
        <v>91</v>
      </c>
      <c r="J487" s="254" t="s">
        <v>276</v>
      </c>
      <c r="K487" s="254">
        <v>1533010002</v>
      </c>
      <c r="L487" s="256"/>
      <c r="M487" s="256"/>
      <c r="N487" s="256"/>
      <c r="O487" s="256"/>
      <c r="P487" s="256"/>
      <c r="Q487" s="256"/>
      <c r="R487" s="256"/>
      <c r="S487" s="256"/>
      <c r="T487" s="257">
        <v>-38554680</v>
      </c>
      <c r="U487" s="254" t="s">
        <v>277</v>
      </c>
      <c r="V487" s="256"/>
      <c r="W487" s="256"/>
      <c r="X487" s="256"/>
      <c r="Y487" s="256"/>
      <c r="Z487" s="256"/>
      <c r="AA487" s="256"/>
      <c r="AB487" s="256"/>
      <c r="AC487" s="254" t="s">
        <v>278</v>
      </c>
      <c r="AD487" s="256"/>
      <c r="AE487" s="256"/>
      <c r="AF487" s="256">
        <v>20250731</v>
      </c>
      <c r="AG487" s="256"/>
      <c r="AH487" s="256"/>
      <c r="AI487" s="256">
        <v>20250731</v>
      </c>
      <c r="AJ487" s="254">
        <v>8600669427</v>
      </c>
      <c r="AK487" s="254"/>
      <c r="AL487" s="256"/>
      <c r="AM487" s="254" t="s">
        <v>289</v>
      </c>
      <c r="AO487" s="234" t="s">
        <v>101</v>
      </c>
      <c r="AP487" s="232">
        <f t="shared" si="19"/>
        <v>38554680</v>
      </c>
      <c r="AQ487" s="230">
        <f t="shared" si="18"/>
        <v>7</v>
      </c>
    </row>
    <row r="488" spans="1:43">
      <c r="A488" s="254">
        <v>1</v>
      </c>
      <c r="B488" s="254" t="s">
        <v>273</v>
      </c>
      <c r="C488" s="254" t="s">
        <v>280</v>
      </c>
      <c r="D488" s="255">
        <v>45869</v>
      </c>
      <c r="E488" s="255">
        <v>45869</v>
      </c>
      <c r="F488" s="254" t="s">
        <v>281</v>
      </c>
      <c r="G488" s="254" t="s">
        <v>275</v>
      </c>
      <c r="H488" s="254"/>
      <c r="I488" s="254">
        <v>92</v>
      </c>
      <c r="J488" s="254" t="s">
        <v>276</v>
      </c>
      <c r="K488" s="254">
        <v>1533010002</v>
      </c>
      <c r="L488" s="256"/>
      <c r="M488" s="256"/>
      <c r="N488" s="256"/>
      <c r="O488" s="256"/>
      <c r="P488" s="256"/>
      <c r="Q488" s="256"/>
      <c r="R488" s="256"/>
      <c r="S488" s="256"/>
      <c r="T488" s="257">
        <v>-532811</v>
      </c>
      <c r="U488" s="254" t="s">
        <v>277</v>
      </c>
      <c r="V488" s="256"/>
      <c r="W488" s="256"/>
      <c r="X488" s="256"/>
      <c r="Y488" s="256"/>
      <c r="Z488" s="256"/>
      <c r="AA488" s="256"/>
      <c r="AB488" s="256"/>
      <c r="AC488" s="254" t="s">
        <v>278</v>
      </c>
      <c r="AD488" s="256"/>
      <c r="AE488" s="256"/>
      <c r="AF488" s="256">
        <v>20250731</v>
      </c>
      <c r="AG488" s="256"/>
      <c r="AH488" s="256"/>
      <c r="AI488" s="256">
        <v>20250731</v>
      </c>
      <c r="AJ488" s="254">
        <v>8300035647</v>
      </c>
      <c r="AK488" s="254"/>
      <c r="AL488" s="256"/>
      <c r="AM488" s="254" t="s">
        <v>286</v>
      </c>
      <c r="AO488" s="234" t="s">
        <v>109</v>
      </c>
      <c r="AP488" s="232">
        <f t="shared" si="19"/>
        <v>532811</v>
      </c>
      <c r="AQ488" s="230">
        <f t="shared" si="18"/>
        <v>7</v>
      </c>
    </row>
    <row r="489" spans="1:43">
      <c r="A489" s="254">
        <v>1</v>
      </c>
      <c r="B489" s="254" t="s">
        <v>273</v>
      </c>
      <c r="C489" s="254" t="s">
        <v>280</v>
      </c>
      <c r="D489" s="255">
        <v>45869</v>
      </c>
      <c r="E489" s="255">
        <v>45869</v>
      </c>
      <c r="F489" s="254" t="s">
        <v>281</v>
      </c>
      <c r="G489" s="254" t="s">
        <v>275</v>
      </c>
      <c r="H489" s="254"/>
      <c r="I489" s="254">
        <v>93</v>
      </c>
      <c r="J489" s="254" t="s">
        <v>276</v>
      </c>
      <c r="K489" s="254">
        <v>1533010002</v>
      </c>
      <c r="L489" s="256"/>
      <c r="M489" s="256"/>
      <c r="N489" s="256"/>
      <c r="O489" s="256"/>
      <c r="P489" s="256"/>
      <c r="Q489" s="256"/>
      <c r="R489" s="256"/>
      <c r="S489" s="256"/>
      <c r="T489" s="257">
        <v>-794976</v>
      </c>
      <c r="U489" s="254" t="s">
        <v>277</v>
      </c>
      <c r="V489" s="256"/>
      <c r="W489" s="256"/>
      <c r="X489" s="256"/>
      <c r="Y489" s="256"/>
      <c r="Z489" s="256"/>
      <c r="AA489" s="256"/>
      <c r="AB489" s="256"/>
      <c r="AC489" s="254" t="s">
        <v>278</v>
      </c>
      <c r="AD489" s="256"/>
      <c r="AE489" s="256"/>
      <c r="AF489" s="256">
        <v>20250731</v>
      </c>
      <c r="AG489" s="256"/>
      <c r="AH489" s="256"/>
      <c r="AI489" s="256">
        <v>20250731</v>
      </c>
      <c r="AJ489" s="254">
        <v>8300035647</v>
      </c>
      <c r="AK489" s="254"/>
      <c r="AL489" s="256"/>
      <c r="AM489" s="254" t="s">
        <v>286</v>
      </c>
      <c r="AO489" s="234" t="s">
        <v>109</v>
      </c>
      <c r="AP489" s="232">
        <f t="shared" si="19"/>
        <v>794976</v>
      </c>
      <c r="AQ489" s="230">
        <f t="shared" si="18"/>
        <v>7</v>
      </c>
    </row>
    <row r="490" spans="1:43">
      <c r="A490" s="254">
        <v>1</v>
      </c>
      <c r="B490" s="254" t="s">
        <v>273</v>
      </c>
      <c r="C490" s="254" t="s">
        <v>280</v>
      </c>
      <c r="D490" s="255">
        <v>45869</v>
      </c>
      <c r="E490" s="255">
        <v>45869</v>
      </c>
      <c r="F490" s="254" t="s">
        <v>281</v>
      </c>
      <c r="G490" s="254" t="s">
        <v>275</v>
      </c>
      <c r="H490" s="254"/>
      <c r="I490" s="254">
        <v>94</v>
      </c>
      <c r="J490" s="254" t="s">
        <v>276</v>
      </c>
      <c r="K490" s="254">
        <v>1533010002</v>
      </c>
      <c r="L490" s="256"/>
      <c r="M490" s="256"/>
      <c r="N490" s="256"/>
      <c r="O490" s="256"/>
      <c r="P490" s="256"/>
      <c r="Q490" s="256"/>
      <c r="R490" s="256"/>
      <c r="S490" s="256"/>
      <c r="T490" s="257">
        <v>-2210600</v>
      </c>
      <c r="U490" s="254" t="s">
        <v>277</v>
      </c>
      <c r="V490" s="256"/>
      <c r="W490" s="256"/>
      <c r="X490" s="256"/>
      <c r="Y490" s="256"/>
      <c r="Z490" s="256"/>
      <c r="AA490" s="256"/>
      <c r="AB490" s="256"/>
      <c r="AC490" s="254" t="s">
        <v>278</v>
      </c>
      <c r="AD490" s="256"/>
      <c r="AE490" s="256"/>
      <c r="AF490" s="256">
        <v>20250731</v>
      </c>
      <c r="AG490" s="256"/>
      <c r="AH490" s="256"/>
      <c r="AI490" s="256">
        <v>20250731</v>
      </c>
      <c r="AJ490" s="254">
        <v>8000887022</v>
      </c>
      <c r="AK490" s="254"/>
      <c r="AL490" s="256"/>
      <c r="AM490" s="254" t="s">
        <v>292</v>
      </c>
      <c r="AO490" s="234" t="s">
        <v>108</v>
      </c>
      <c r="AP490" s="232">
        <f t="shared" si="19"/>
        <v>2210600</v>
      </c>
      <c r="AQ490" s="230">
        <f t="shared" si="18"/>
        <v>7</v>
      </c>
    </row>
    <row r="491" spans="1:43">
      <c r="A491" s="254">
        <v>1</v>
      </c>
      <c r="B491" s="254" t="s">
        <v>273</v>
      </c>
      <c r="C491" s="254" t="s">
        <v>280</v>
      </c>
      <c r="D491" s="255">
        <v>45869</v>
      </c>
      <c r="E491" s="255">
        <v>45869</v>
      </c>
      <c r="F491" s="254" t="s">
        <v>281</v>
      </c>
      <c r="G491" s="254" t="s">
        <v>275</v>
      </c>
      <c r="H491" s="254"/>
      <c r="I491" s="254">
        <v>95</v>
      </c>
      <c r="J491" s="254" t="s">
        <v>276</v>
      </c>
      <c r="K491" s="254">
        <v>1533010002</v>
      </c>
      <c r="L491" s="256"/>
      <c r="M491" s="256"/>
      <c r="N491" s="256"/>
      <c r="O491" s="256"/>
      <c r="P491" s="256"/>
      <c r="Q491" s="256"/>
      <c r="R491" s="256"/>
      <c r="S491" s="256"/>
      <c r="T491" s="257">
        <v>-461765</v>
      </c>
      <c r="U491" s="254" t="s">
        <v>277</v>
      </c>
      <c r="V491" s="256"/>
      <c r="W491" s="256"/>
      <c r="X491" s="256"/>
      <c r="Y491" s="256"/>
      <c r="Z491" s="256"/>
      <c r="AA491" s="256"/>
      <c r="AB491" s="256"/>
      <c r="AC491" s="254" t="s">
        <v>278</v>
      </c>
      <c r="AD491" s="256"/>
      <c r="AE491" s="256"/>
      <c r="AF491" s="256">
        <v>20250731</v>
      </c>
      <c r="AG491" s="256"/>
      <c r="AH491" s="256"/>
      <c r="AI491" s="256">
        <v>20250731</v>
      </c>
      <c r="AJ491" s="254">
        <v>8600021839</v>
      </c>
      <c r="AK491" s="254"/>
      <c r="AL491" s="256"/>
      <c r="AM491" s="254" t="s">
        <v>288</v>
      </c>
      <c r="AO491" s="234">
        <v>0</v>
      </c>
      <c r="AP491" s="232">
        <f t="shared" si="19"/>
        <v>461765</v>
      </c>
      <c r="AQ491" s="230">
        <f t="shared" si="18"/>
        <v>7</v>
      </c>
    </row>
    <row r="492" spans="1:43">
      <c r="A492" s="254">
        <v>1</v>
      </c>
      <c r="B492" s="254" t="s">
        <v>273</v>
      </c>
      <c r="C492" s="254" t="s">
        <v>280</v>
      </c>
      <c r="D492" s="255">
        <v>45869</v>
      </c>
      <c r="E492" s="255">
        <v>45869</v>
      </c>
      <c r="F492" s="254" t="s">
        <v>281</v>
      </c>
      <c r="G492" s="254" t="s">
        <v>275</v>
      </c>
      <c r="H492" s="254"/>
      <c r="I492" s="254">
        <v>96</v>
      </c>
      <c r="J492" s="254" t="s">
        <v>276</v>
      </c>
      <c r="K492" s="254">
        <v>1533010002</v>
      </c>
      <c r="L492" s="256"/>
      <c r="M492" s="256"/>
      <c r="N492" s="256"/>
      <c r="O492" s="256"/>
      <c r="P492" s="256"/>
      <c r="Q492" s="256"/>
      <c r="R492" s="256"/>
      <c r="S492" s="256"/>
      <c r="T492" s="257">
        <v>-4080700</v>
      </c>
      <c r="U492" s="254" t="s">
        <v>277</v>
      </c>
      <c r="V492" s="256"/>
      <c r="W492" s="256"/>
      <c r="X492" s="256"/>
      <c r="Y492" s="256"/>
      <c r="Z492" s="256"/>
      <c r="AA492" s="256"/>
      <c r="AB492" s="256"/>
      <c r="AC492" s="254" t="s">
        <v>278</v>
      </c>
      <c r="AD492" s="256"/>
      <c r="AE492" s="256"/>
      <c r="AF492" s="256">
        <v>20250731</v>
      </c>
      <c r="AG492" s="256"/>
      <c r="AH492" s="256"/>
      <c r="AI492" s="256">
        <v>20250731</v>
      </c>
      <c r="AJ492" s="254">
        <v>8000887022</v>
      </c>
      <c r="AK492" s="254"/>
      <c r="AL492" s="256"/>
      <c r="AM492" s="254" t="s">
        <v>292</v>
      </c>
      <c r="AO492" s="234" t="s">
        <v>108</v>
      </c>
      <c r="AP492" s="232">
        <f t="shared" si="19"/>
        <v>4080700</v>
      </c>
      <c r="AQ492" s="230">
        <f t="shared" si="18"/>
        <v>7</v>
      </c>
    </row>
    <row r="493" spans="1:43">
      <c r="A493" s="254">
        <v>1</v>
      </c>
      <c r="B493" s="254" t="s">
        <v>273</v>
      </c>
      <c r="C493" s="254" t="s">
        <v>280</v>
      </c>
      <c r="D493" s="255">
        <v>45869</v>
      </c>
      <c r="E493" s="255">
        <v>45869</v>
      </c>
      <c r="F493" s="254" t="s">
        <v>281</v>
      </c>
      <c r="G493" s="254" t="s">
        <v>275</v>
      </c>
      <c r="H493" s="254"/>
      <c r="I493" s="254">
        <v>97</v>
      </c>
      <c r="J493" s="254" t="s">
        <v>276</v>
      </c>
      <c r="K493" s="254">
        <v>1533010002</v>
      </c>
      <c r="L493" s="256"/>
      <c r="M493" s="256"/>
      <c r="N493" s="256"/>
      <c r="O493" s="256"/>
      <c r="P493" s="256"/>
      <c r="Q493" s="256"/>
      <c r="R493" s="256"/>
      <c r="S493" s="256"/>
      <c r="T493" s="257">
        <v>-9177985</v>
      </c>
      <c r="U493" s="254" t="s">
        <v>277</v>
      </c>
      <c r="V493" s="256"/>
      <c r="W493" s="256"/>
      <c r="X493" s="256"/>
      <c r="Y493" s="256"/>
      <c r="Z493" s="256"/>
      <c r="AA493" s="256"/>
      <c r="AB493" s="256"/>
      <c r="AC493" s="254" t="s">
        <v>278</v>
      </c>
      <c r="AD493" s="256"/>
      <c r="AE493" s="256"/>
      <c r="AF493" s="256">
        <v>20250731</v>
      </c>
      <c r="AG493" s="256"/>
      <c r="AH493" s="256"/>
      <c r="AI493" s="256">
        <v>20250731</v>
      </c>
      <c r="AJ493" s="254">
        <v>8002514406</v>
      </c>
      <c r="AK493" s="254"/>
      <c r="AL493" s="256"/>
      <c r="AM493" s="254" t="s">
        <v>283</v>
      </c>
      <c r="AO493" s="234" t="s">
        <v>115</v>
      </c>
      <c r="AP493" s="232">
        <f t="shared" si="19"/>
        <v>9177985</v>
      </c>
      <c r="AQ493" s="230">
        <f t="shared" si="18"/>
        <v>7</v>
      </c>
    </row>
    <row r="494" spans="1:43">
      <c r="A494" s="254">
        <v>1</v>
      </c>
      <c r="B494" s="254" t="s">
        <v>273</v>
      </c>
      <c r="C494" s="254" t="s">
        <v>280</v>
      </c>
      <c r="D494" s="255">
        <v>45869</v>
      </c>
      <c r="E494" s="255">
        <v>45869</v>
      </c>
      <c r="F494" s="254" t="s">
        <v>281</v>
      </c>
      <c r="G494" s="254" t="s">
        <v>275</v>
      </c>
      <c r="H494" s="254"/>
      <c r="I494" s="254">
        <v>98</v>
      </c>
      <c r="J494" s="254" t="s">
        <v>276</v>
      </c>
      <c r="K494" s="254">
        <v>1533010002</v>
      </c>
      <c r="L494" s="256"/>
      <c r="M494" s="256"/>
      <c r="N494" s="256"/>
      <c r="O494" s="256"/>
      <c r="P494" s="256"/>
      <c r="Q494" s="256"/>
      <c r="R494" s="256"/>
      <c r="S494" s="256"/>
      <c r="T494" s="257">
        <v>-6861649</v>
      </c>
      <c r="U494" s="254" t="s">
        <v>277</v>
      </c>
      <c r="V494" s="256"/>
      <c r="W494" s="256"/>
      <c r="X494" s="256"/>
      <c r="Y494" s="256"/>
      <c r="Z494" s="256"/>
      <c r="AA494" s="256"/>
      <c r="AB494" s="256"/>
      <c r="AC494" s="254" t="s">
        <v>278</v>
      </c>
      <c r="AD494" s="256"/>
      <c r="AE494" s="256"/>
      <c r="AF494" s="256">
        <v>20250731</v>
      </c>
      <c r="AG494" s="256"/>
      <c r="AH494" s="256"/>
      <c r="AI494" s="256">
        <v>20250731</v>
      </c>
      <c r="AJ494" s="254">
        <v>8001309074</v>
      </c>
      <c r="AK494" s="254"/>
      <c r="AL494" s="256"/>
      <c r="AM494" s="254" t="s">
        <v>305</v>
      </c>
      <c r="AO494" s="234">
        <v>0</v>
      </c>
      <c r="AP494" s="232">
        <f t="shared" si="19"/>
        <v>6861649</v>
      </c>
      <c r="AQ494" s="230">
        <f t="shared" si="18"/>
        <v>7</v>
      </c>
    </row>
    <row r="495" spans="1:43">
      <c r="A495" s="254">
        <v>1</v>
      </c>
      <c r="B495" s="254" t="s">
        <v>273</v>
      </c>
      <c r="C495" s="254" t="s">
        <v>280</v>
      </c>
      <c r="D495" s="255">
        <v>45869</v>
      </c>
      <c r="E495" s="255">
        <v>45869</v>
      </c>
      <c r="F495" s="254" t="s">
        <v>281</v>
      </c>
      <c r="G495" s="254" t="s">
        <v>275</v>
      </c>
      <c r="H495" s="254"/>
      <c r="I495" s="254">
        <v>99</v>
      </c>
      <c r="J495" s="254" t="s">
        <v>276</v>
      </c>
      <c r="K495" s="254">
        <v>1533010002</v>
      </c>
      <c r="L495" s="256"/>
      <c r="M495" s="256"/>
      <c r="N495" s="256"/>
      <c r="O495" s="256"/>
      <c r="P495" s="256"/>
      <c r="Q495" s="256"/>
      <c r="R495" s="256"/>
      <c r="S495" s="256"/>
      <c r="T495" s="257">
        <v>-1349867</v>
      </c>
      <c r="U495" s="254" t="s">
        <v>277</v>
      </c>
      <c r="V495" s="256"/>
      <c r="W495" s="256"/>
      <c r="X495" s="256"/>
      <c r="Y495" s="256"/>
      <c r="Z495" s="256"/>
      <c r="AA495" s="256"/>
      <c r="AB495" s="256"/>
      <c r="AC495" s="254" t="s">
        <v>278</v>
      </c>
      <c r="AD495" s="256"/>
      <c r="AE495" s="256"/>
      <c r="AF495" s="256">
        <v>20250731</v>
      </c>
      <c r="AG495" s="256"/>
      <c r="AH495" s="256"/>
      <c r="AI495" s="256">
        <v>20250731</v>
      </c>
      <c r="AJ495" s="254">
        <v>8600669427</v>
      </c>
      <c r="AK495" s="254"/>
      <c r="AL495" s="256"/>
      <c r="AM495" s="254" t="s">
        <v>289</v>
      </c>
      <c r="AO495" s="234" t="s">
        <v>101</v>
      </c>
      <c r="AP495" s="232">
        <f t="shared" si="19"/>
        <v>1349867</v>
      </c>
      <c r="AQ495" s="230">
        <f t="shared" si="18"/>
        <v>7</v>
      </c>
    </row>
    <row r="496" spans="1:43">
      <c r="A496" s="254">
        <v>1</v>
      </c>
      <c r="B496" s="254" t="s">
        <v>273</v>
      </c>
      <c r="C496" s="254" t="s">
        <v>280</v>
      </c>
      <c r="D496" s="255">
        <v>45869</v>
      </c>
      <c r="E496" s="255">
        <v>45869</v>
      </c>
      <c r="F496" s="254" t="s">
        <v>281</v>
      </c>
      <c r="G496" s="254" t="s">
        <v>275</v>
      </c>
      <c r="H496" s="254"/>
      <c r="I496" s="254">
        <v>100</v>
      </c>
      <c r="J496" s="254" t="s">
        <v>276</v>
      </c>
      <c r="K496" s="254">
        <v>1533010002</v>
      </c>
      <c r="L496" s="256"/>
      <c r="M496" s="256"/>
      <c r="N496" s="256"/>
      <c r="O496" s="256"/>
      <c r="P496" s="256"/>
      <c r="Q496" s="256"/>
      <c r="R496" s="256"/>
      <c r="S496" s="256"/>
      <c r="T496" s="257">
        <v>-534973</v>
      </c>
      <c r="U496" s="254" t="s">
        <v>277</v>
      </c>
      <c r="V496" s="256"/>
      <c r="W496" s="256"/>
      <c r="X496" s="256"/>
      <c r="Y496" s="256"/>
      <c r="Z496" s="256"/>
      <c r="AA496" s="256"/>
      <c r="AB496" s="256"/>
      <c r="AC496" s="254" t="s">
        <v>278</v>
      </c>
      <c r="AD496" s="256"/>
      <c r="AE496" s="256"/>
      <c r="AF496" s="256">
        <v>20250731</v>
      </c>
      <c r="AG496" s="256"/>
      <c r="AH496" s="256"/>
      <c r="AI496" s="256">
        <v>20250731</v>
      </c>
      <c r="AJ496" s="254">
        <v>8300035647</v>
      </c>
      <c r="AK496" s="254"/>
      <c r="AL496" s="256"/>
      <c r="AM496" s="254" t="s">
        <v>286</v>
      </c>
      <c r="AO496" s="234" t="s">
        <v>109</v>
      </c>
      <c r="AP496" s="232">
        <f t="shared" si="19"/>
        <v>534973</v>
      </c>
      <c r="AQ496" s="230">
        <f t="shared" si="18"/>
        <v>7</v>
      </c>
    </row>
    <row r="497" spans="1:43">
      <c r="A497" s="254">
        <v>1</v>
      </c>
      <c r="B497" s="254" t="s">
        <v>273</v>
      </c>
      <c r="C497" s="254" t="s">
        <v>280</v>
      </c>
      <c r="D497" s="255">
        <v>45869</v>
      </c>
      <c r="E497" s="255">
        <v>45869</v>
      </c>
      <c r="F497" s="254" t="s">
        <v>281</v>
      </c>
      <c r="G497" s="254" t="s">
        <v>275</v>
      </c>
      <c r="H497" s="254"/>
      <c r="I497" s="254">
        <v>101</v>
      </c>
      <c r="J497" s="254" t="s">
        <v>276</v>
      </c>
      <c r="K497" s="254">
        <v>1533010002</v>
      </c>
      <c r="L497" s="256"/>
      <c r="M497" s="256"/>
      <c r="N497" s="256"/>
      <c r="O497" s="256"/>
      <c r="P497" s="256"/>
      <c r="Q497" s="256"/>
      <c r="R497" s="256"/>
      <c r="S497" s="256"/>
      <c r="T497" s="257">
        <v>-1747700</v>
      </c>
      <c r="U497" s="254" t="s">
        <v>277</v>
      </c>
      <c r="V497" s="256"/>
      <c r="W497" s="256"/>
      <c r="X497" s="256"/>
      <c r="Y497" s="256"/>
      <c r="Z497" s="256"/>
      <c r="AA497" s="256"/>
      <c r="AB497" s="256"/>
      <c r="AC497" s="254" t="s">
        <v>278</v>
      </c>
      <c r="AD497" s="256"/>
      <c r="AE497" s="256"/>
      <c r="AF497" s="256">
        <v>20250731</v>
      </c>
      <c r="AG497" s="256"/>
      <c r="AH497" s="256"/>
      <c r="AI497" s="256">
        <v>20250731</v>
      </c>
      <c r="AJ497" s="254">
        <v>8914800001</v>
      </c>
      <c r="AK497" s="254"/>
      <c r="AL497" s="256"/>
      <c r="AM497" s="254" t="s">
        <v>289</v>
      </c>
      <c r="AO497" s="234">
        <v>0</v>
      </c>
      <c r="AP497" s="232">
        <f t="shared" si="19"/>
        <v>1747700</v>
      </c>
      <c r="AQ497" s="230">
        <f t="shared" si="18"/>
        <v>7</v>
      </c>
    </row>
    <row r="498" spans="1:43">
      <c r="A498" s="254">
        <v>1</v>
      </c>
      <c r="B498" s="254" t="s">
        <v>273</v>
      </c>
      <c r="C498" s="254" t="s">
        <v>280</v>
      </c>
      <c r="D498" s="255">
        <v>45869</v>
      </c>
      <c r="E498" s="255">
        <v>45869</v>
      </c>
      <c r="F498" s="254" t="s">
        <v>281</v>
      </c>
      <c r="G498" s="254" t="s">
        <v>275</v>
      </c>
      <c r="H498" s="254"/>
      <c r="I498" s="254">
        <v>102</v>
      </c>
      <c r="J498" s="254" t="s">
        <v>276</v>
      </c>
      <c r="K498" s="254">
        <v>1533010002</v>
      </c>
      <c r="L498" s="256"/>
      <c r="M498" s="256"/>
      <c r="N498" s="256"/>
      <c r="O498" s="256"/>
      <c r="P498" s="256"/>
      <c r="Q498" s="256"/>
      <c r="R498" s="256"/>
      <c r="S498" s="256"/>
      <c r="T498" s="257">
        <v>-561527</v>
      </c>
      <c r="U498" s="254" t="s">
        <v>277</v>
      </c>
      <c r="V498" s="256"/>
      <c r="W498" s="256"/>
      <c r="X498" s="256"/>
      <c r="Y498" s="256"/>
      <c r="Z498" s="256"/>
      <c r="AA498" s="256"/>
      <c r="AB498" s="256"/>
      <c r="AC498" s="254" t="s">
        <v>278</v>
      </c>
      <c r="AD498" s="256"/>
      <c r="AE498" s="256"/>
      <c r="AF498" s="256">
        <v>20250731</v>
      </c>
      <c r="AG498" s="256"/>
      <c r="AH498" s="256"/>
      <c r="AI498" s="256">
        <v>20250731</v>
      </c>
      <c r="AJ498" s="254">
        <v>8301138310</v>
      </c>
      <c r="AK498" s="254"/>
      <c r="AL498" s="256"/>
      <c r="AM498" s="254" t="s">
        <v>287</v>
      </c>
      <c r="AO498" s="234">
        <v>0</v>
      </c>
      <c r="AP498" s="232">
        <f t="shared" si="19"/>
        <v>561527</v>
      </c>
      <c r="AQ498" s="230">
        <f t="shared" si="18"/>
        <v>7</v>
      </c>
    </row>
    <row r="499" spans="1:43">
      <c r="A499" s="254">
        <v>1</v>
      </c>
      <c r="B499" s="254" t="s">
        <v>273</v>
      </c>
      <c r="C499" s="254" t="s">
        <v>280</v>
      </c>
      <c r="D499" s="255">
        <v>45869</v>
      </c>
      <c r="E499" s="255">
        <v>45869</v>
      </c>
      <c r="F499" s="254" t="s">
        <v>281</v>
      </c>
      <c r="G499" s="254" t="s">
        <v>275</v>
      </c>
      <c r="H499" s="254"/>
      <c r="I499" s="254">
        <v>103</v>
      </c>
      <c r="J499" s="254" t="s">
        <v>276</v>
      </c>
      <c r="K499" s="254">
        <v>1533010002</v>
      </c>
      <c r="L499" s="256"/>
      <c r="M499" s="256"/>
      <c r="N499" s="256"/>
      <c r="O499" s="256"/>
      <c r="P499" s="256"/>
      <c r="Q499" s="256"/>
      <c r="R499" s="256"/>
      <c r="S499" s="256"/>
      <c r="T499" s="257">
        <v>-1423500</v>
      </c>
      <c r="U499" s="254" t="s">
        <v>277</v>
      </c>
      <c r="V499" s="256"/>
      <c r="W499" s="256"/>
      <c r="X499" s="256"/>
      <c r="Y499" s="256"/>
      <c r="Z499" s="256"/>
      <c r="AA499" s="256"/>
      <c r="AB499" s="256"/>
      <c r="AC499" s="254" t="s">
        <v>278</v>
      </c>
      <c r="AD499" s="256"/>
      <c r="AE499" s="256"/>
      <c r="AF499" s="256">
        <v>20250731</v>
      </c>
      <c r="AG499" s="256"/>
      <c r="AH499" s="256"/>
      <c r="AI499" s="256">
        <v>20250731</v>
      </c>
      <c r="AJ499" s="254">
        <v>8600669427</v>
      </c>
      <c r="AK499" s="254"/>
      <c r="AL499" s="256"/>
      <c r="AM499" s="254" t="s">
        <v>289</v>
      </c>
      <c r="AO499" s="234" t="s">
        <v>101</v>
      </c>
      <c r="AP499" s="232">
        <f t="shared" si="19"/>
        <v>1423500</v>
      </c>
      <c r="AQ499" s="230">
        <f t="shared" si="18"/>
        <v>7</v>
      </c>
    </row>
    <row r="500" spans="1:43">
      <c r="A500" s="254">
        <v>1</v>
      </c>
      <c r="B500" s="254" t="s">
        <v>273</v>
      </c>
      <c r="C500" s="254" t="s">
        <v>280</v>
      </c>
      <c r="D500" s="255">
        <v>45869</v>
      </c>
      <c r="E500" s="255">
        <v>45869</v>
      </c>
      <c r="F500" s="254" t="s">
        <v>281</v>
      </c>
      <c r="G500" s="254" t="s">
        <v>275</v>
      </c>
      <c r="H500" s="254"/>
      <c r="I500" s="254">
        <v>104</v>
      </c>
      <c r="J500" s="254" t="s">
        <v>276</v>
      </c>
      <c r="K500" s="254">
        <v>1533010002</v>
      </c>
      <c r="L500" s="256"/>
      <c r="M500" s="256"/>
      <c r="N500" s="256"/>
      <c r="O500" s="256"/>
      <c r="P500" s="256"/>
      <c r="Q500" s="256"/>
      <c r="R500" s="256"/>
      <c r="S500" s="256"/>
      <c r="T500" s="257">
        <v>-859521</v>
      </c>
      <c r="U500" s="254" t="s">
        <v>277</v>
      </c>
      <c r="V500" s="256"/>
      <c r="W500" s="256"/>
      <c r="X500" s="256"/>
      <c r="Y500" s="256"/>
      <c r="Z500" s="256"/>
      <c r="AA500" s="256"/>
      <c r="AB500" s="256"/>
      <c r="AC500" s="254" t="s">
        <v>278</v>
      </c>
      <c r="AD500" s="256"/>
      <c r="AE500" s="256"/>
      <c r="AF500" s="256">
        <v>20250731</v>
      </c>
      <c r="AG500" s="256"/>
      <c r="AH500" s="256"/>
      <c r="AI500" s="256">
        <v>20250731</v>
      </c>
      <c r="AJ500" s="254">
        <v>8002514406</v>
      </c>
      <c r="AK500" s="254"/>
      <c r="AL500" s="256"/>
      <c r="AM500" s="254" t="s">
        <v>283</v>
      </c>
      <c r="AO500" s="234" t="s">
        <v>115</v>
      </c>
      <c r="AP500" s="232">
        <f t="shared" si="19"/>
        <v>859521</v>
      </c>
      <c r="AQ500" s="230">
        <f t="shared" si="18"/>
        <v>7</v>
      </c>
    </row>
    <row r="501" spans="1:43">
      <c r="A501" s="254">
        <v>1</v>
      </c>
      <c r="B501" s="254" t="s">
        <v>273</v>
      </c>
      <c r="C501" s="254" t="s">
        <v>280</v>
      </c>
      <c r="D501" s="255">
        <v>45869</v>
      </c>
      <c r="E501" s="255">
        <v>45869</v>
      </c>
      <c r="F501" s="254" t="s">
        <v>281</v>
      </c>
      <c r="G501" s="254" t="s">
        <v>275</v>
      </c>
      <c r="H501" s="254"/>
      <c r="I501" s="254">
        <v>105</v>
      </c>
      <c r="J501" s="254" t="s">
        <v>276</v>
      </c>
      <c r="K501" s="254">
        <v>1533010002</v>
      </c>
      <c r="L501" s="256"/>
      <c r="M501" s="256"/>
      <c r="N501" s="256"/>
      <c r="O501" s="256"/>
      <c r="P501" s="256"/>
      <c r="Q501" s="256"/>
      <c r="R501" s="256"/>
      <c r="S501" s="256"/>
      <c r="T501" s="257">
        <v>-16781014</v>
      </c>
      <c r="U501" s="254" t="s">
        <v>277</v>
      </c>
      <c r="V501" s="256"/>
      <c r="W501" s="256"/>
      <c r="X501" s="256"/>
      <c r="Y501" s="256"/>
      <c r="Z501" s="256"/>
      <c r="AA501" s="256"/>
      <c r="AB501" s="256"/>
      <c r="AC501" s="254" t="s">
        <v>278</v>
      </c>
      <c r="AD501" s="256"/>
      <c r="AE501" s="256"/>
      <c r="AF501" s="256">
        <v>20250731</v>
      </c>
      <c r="AG501" s="256"/>
      <c r="AH501" s="256"/>
      <c r="AI501" s="256">
        <v>20250731</v>
      </c>
      <c r="AJ501" s="254">
        <v>9001562642</v>
      </c>
      <c r="AK501" s="254"/>
      <c r="AL501" s="256"/>
      <c r="AM501" s="254" t="s">
        <v>316</v>
      </c>
      <c r="AO501" s="234" t="s">
        <v>111</v>
      </c>
      <c r="AP501" s="232">
        <f t="shared" si="19"/>
        <v>16781014</v>
      </c>
      <c r="AQ501" s="230">
        <f t="shared" si="18"/>
        <v>7</v>
      </c>
    </row>
    <row r="502" spans="1:43">
      <c r="A502" s="254">
        <v>1</v>
      </c>
      <c r="B502" s="254" t="s">
        <v>273</v>
      </c>
      <c r="C502" s="254" t="s">
        <v>280</v>
      </c>
      <c r="D502" s="255">
        <v>45869</v>
      </c>
      <c r="E502" s="255">
        <v>45869</v>
      </c>
      <c r="F502" s="254" t="s">
        <v>281</v>
      </c>
      <c r="G502" s="254" t="s">
        <v>275</v>
      </c>
      <c r="H502" s="254"/>
      <c r="I502" s="254">
        <v>106</v>
      </c>
      <c r="J502" s="254" t="s">
        <v>276</v>
      </c>
      <c r="K502" s="254">
        <v>1533010002</v>
      </c>
      <c r="L502" s="256"/>
      <c r="M502" s="256"/>
      <c r="N502" s="256"/>
      <c r="O502" s="256"/>
      <c r="P502" s="256"/>
      <c r="Q502" s="256"/>
      <c r="R502" s="256"/>
      <c r="S502" s="256"/>
      <c r="T502" s="257">
        <v>-1376050</v>
      </c>
      <c r="U502" s="254" t="s">
        <v>277</v>
      </c>
      <c r="V502" s="256"/>
      <c r="W502" s="256"/>
      <c r="X502" s="256"/>
      <c r="Y502" s="256"/>
      <c r="Z502" s="256"/>
      <c r="AA502" s="256"/>
      <c r="AB502" s="256"/>
      <c r="AC502" s="254" t="s">
        <v>278</v>
      </c>
      <c r="AD502" s="256"/>
      <c r="AE502" s="256"/>
      <c r="AF502" s="256">
        <v>20250731</v>
      </c>
      <c r="AG502" s="256"/>
      <c r="AH502" s="256"/>
      <c r="AI502" s="256">
        <v>20250731</v>
      </c>
      <c r="AJ502" s="254">
        <v>8002514406</v>
      </c>
      <c r="AK502" s="254"/>
      <c r="AL502" s="256"/>
      <c r="AM502" s="254" t="s">
        <v>283</v>
      </c>
      <c r="AO502" s="234" t="s">
        <v>115</v>
      </c>
      <c r="AP502" s="232">
        <f t="shared" si="19"/>
        <v>1376050</v>
      </c>
      <c r="AQ502" s="230">
        <f t="shared" si="18"/>
        <v>7</v>
      </c>
    </row>
    <row r="503" spans="1:43">
      <c r="A503" s="254">
        <v>1</v>
      </c>
      <c r="B503" s="254" t="s">
        <v>273</v>
      </c>
      <c r="C503" s="254" t="s">
        <v>280</v>
      </c>
      <c r="D503" s="255">
        <v>45869</v>
      </c>
      <c r="E503" s="255">
        <v>45869</v>
      </c>
      <c r="F503" s="254" t="s">
        <v>281</v>
      </c>
      <c r="G503" s="254" t="s">
        <v>275</v>
      </c>
      <c r="H503" s="254"/>
      <c r="I503" s="254">
        <v>107</v>
      </c>
      <c r="J503" s="254" t="s">
        <v>276</v>
      </c>
      <c r="K503" s="254">
        <v>1533010002</v>
      </c>
      <c r="L503" s="256"/>
      <c r="M503" s="256"/>
      <c r="N503" s="256"/>
      <c r="O503" s="256"/>
      <c r="P503" s="256"/>
      <c r="Q503" s="256"/>
      <c r="R503" s="256"/>
      <c r="S503" s="256"/>
      <c r="T503" s="257">
        <v>-589088</v>
      </c>
      <c r="U503" s="254" t="s">
        <v>277</v>
      </c>
      <c r="V503" s="256"/>
      <c r="W503" s="256"/>
      <c r="X503" s="256"/>
      <c r="Y503" s="256"/>
      <c r="Z503" s="256"/>
      <c r="AA503" s="256"/>
      <c r="AB503" s="256"/>
      <c r="AC503" s="254" t="s">
        <v>278</v>
      </c>
      <c r="AD503" s="256"/>
      <c r="AE503" s="256"/>
      <c r="AF503" s="256">
        <v>20250731</v>
      </c>
      <c r="AG503" s="256"/>
      <c r="AH503" s="256"/>
      <c r="AI503" s="256">
        <v>20250731</v>
      </c>
      <c r="AJ503" s="254">
        <v>8300035647</v>
      </c>
      <c r="AK503" s="254"/>
      <c r="AL503" s="256"/>
      <c r="AM503" s="254" t="s">
        <v>286</v>
      </c>
      <c r="AO503" s="234" t="s">
        <v>109</v>
      </c>
      <c r="AP503" s="232">
        <f t="shared" si="19"/>
        <v>589088</v>
      </c>
      <c r="AQ503" s="230">
        <f t="shared" si="18"/>
        <v>7</v>
      </c>
    </row>
    <row r="504" spans="1:43">
      <c r="A504" s="254">
        <v>1</v>
      </c>
      <c r="B504" s="254" t="s">
        <v>273</v>
      </c>
      <c r="C504" s="254" t="s">
        <v>280</v>
      </c>
      <c r="D504" s="255">
        <v>45869</v>
      </c>
      <c r="E504" s="255">
        <v>45869</v>
      </c>
      <c r="F504" s="254" t="s">
        <v>281</v>
      </c>
      <c r="G504" s="254" t="s">
        <v>275</v>
      </c>
      <c r="H504" s="254"/>
      <c r="I504" s="254">
        <v>108</v>
      </c>
      <c r="J504" s="254" t="s">
        <v>276</v>
      </c>
      <c r="K504" s="254">
        <v>1533010002</v>
      </c>
      <c r="L504" s="256"/>
      <c r="M504" s="256"/>
      <c r="N504" s="256"/>
      <c r="O504" s="256"/>
      <c r="P504" s="256"/>
      <c r="Q504" s="256"/>
      <c r="R504" s="256"/>
      <c r="S504" s="256"/>
      <c r="T504" s="257">
        <v>-1510010</v>
      </c>
      <c r="U504" s="254" t="s">
        <v>277</v>
      </c>
      <c r="V504" s="256"/>
      <c r="W504" s="256"/>
      <c r="X504" s="256"/>
      <c r="Y504" s="256"/>
      <c r="Z504" s="256"/>
      <c r="AA504" s="256"/>
      <c r="AB504" s="256"/>
      <c r="AC504" s="254" t="s">
        <v>278</v>
      </c>
      <c r="AD504" s="256"/>
      <c r="AE504" s="256"/>
      <c r="AF504" s="256">
        <v>20250731</v>
      </c>
      <c r="AG504" s="256"/>
      <c r="AH504" s="256"/>
      <c r="AI504" s="256">
        <v>20250731</v>
      </c>
      <c r="AJ504" s="254">
        <v>8600021839</v>
      </c>
      <c r="AK504" s="254"/>
      <c r="AL504" s="256"/>
      <c r="AM504" s="254" t="s">
        <v>288</v>
      </c>
      <c r="AO504" s="234">
        <v>0</v>
      </c>
      <c r="AP504" s="232">
        <f t="shared" si="19"/>
        <v>1510010</v>
      </c>
      <c r="AQ504" s="230">
        <f t="shared" si="18"/>
        <v>7</v>
      </c>
    </row>
    <row r="505" spans="1:43">
      <c r="A505" s="254">
        <v>1</v>
      </c>
      <c r="B505" s="254" t="s">
        <v>273</v>
      </c>
      <c r="C505" s="254" t="s">
        <v>280</v>
      </c>
      <c r="D505" s="255">
        <v>45869</v>
      </c>
      <c r="E505" s="255">
        <v>45869</v>
      </c>
      <c r="F505" s="254" t="s">
        <v>281</v>
      </c>
      <c r="G505" s="254" t="s">
        <v>275</v>
      </c>
      <c r="H505" s="254"/>
      <c r="I505" s="254">
        <v>109</v>
      </c>
      <c r="J505" s="254" t="s">
        <v>276</v>
      </c>
      <c r="K505" s="254">
        <v>1533010002</v>
      </c>
      <c r="L505" s="256"/>
      <c r="M505" s="256"/>
      <c r="N505" s="256"/>
      <c r="O505" s="256"/>
      <c r="P505" s="256"/>
      <c r="Q505" s="256"/>
      <c r="R505" s="256"/>
      <c r="S505" s="256"/>
      <c r="T505" s="257">
        <v>-1138800</v>
      </c>
      <c r="U505" s="254" t="s">
        <v>277</v>
      </c>
      <c r="V505" s="256"/>
      <c r="W505" s="256"/>
      <c r="X505" s="256"/>
      <c r="Y505" s="256"/>
      <c r="Z505" s="256"/>
      <c r="AA505" s="256"/>
      <c r="AB505" s="256"/>
      <c r="AC505" s="254" t="s">
        <v>278</v>
      </c>
      <c r="AD505" s="256"/>
      <c r="AE505" s="256"/>
      <c r="AF505" s="256">
        <v>20250731</v>
      </c>
      <c r="AG505" s="256"/>
      <c r="AH505" s="256"/>
      <c r="AI505" s="256">
        <v>20250731</v>
      </c>
      <c r="AJ505" s="254">
        <v>8050011572</v>
      </c>
      <c r="AK505" s="254"/>
      <c r="AL505" s="256"/>
      <c r="AM505" s="254" t="s">
        <v>284</v>
      </c>
      <c r="AO505" s="234">
        <v>0</v>
      </c>
      <c r="AP505" s="232">
        <f t="shared" si="19"/>
        <v>1138800</v>
      </c>
      <c r="AQ505" s="230">
        <f t="shared" si="18"/>
        <v>7</v>
      </c>
    </row>
    <row r="506" spans="1:43">
      <c r="A506" s="254">
        <v>1</v>
      </c>
      <c r="B506" s="254" t="s">
        <v>273</v>
      </c>
      <c r="C506" s="254" t="s">
        <v>280</v>
      </c>
      <c r="D506" s="255">
        <v>45869</v>
      </c>
      <c r="E506" s="255">
        <v>45869</v>
      </c>
      <c r="F506" s="254" t="s">
        <v>281</v>
      </c>
      <c r="G506" s="254" t="s">
        <v>275</v>
      </c>
      <c r="H506" s="254"/>
      <c r="I506" s="254">
        <v>110</v>
      </c>
      <c r="J506" s="254" t="s">
        <v>276</v>
      </c>
      <c r="K506" s="254">
        <v>1533010002</v>
      </c>
      <c r="L506" s="256"/>
      <c r="M506" s="256"/>
      <c r="N506" s="256"/>
      <c r="O506" s="256"/>
      <c r="P506" s="256"/>
      <c r="Q506" s="256"/>
      <c r="R506" s="256"/>
      <c r="S506" s="256"/>
      <c r="T506" s="257">
        <v>-277355</v>
      </c>
      <c r="U506" s="254" t="s">
        <v>277</v>
      </c>
      <c r="V506" s="256"/>
      <c r="W506" s="256"/>
      <c r="X506" s="256"/>
      <c r="Y506" s="256"/>
      <c r="Z506" s="256"/>
      <c r="AA506" s="256"/>
      <c r="AB506" s="256"/>
      <c r="AC506" s="254" t="s">
        <v>278</v>
      </c>
      <c r="AD506" s="256"/>
      <c r="AE506" s="256"/>
      <c r="AF506" s="256">
        <v>20250731</v>
      </c>
      <c r="AG506" s="256"/>
      <c r="AH506" s="256"/>
      <c r="AI506" s="256">
        <v>20250731</v>
      </c>
      <c r="AJ506" s="254">
        <v>8301138310</v>
      </c>
      <c r="AK506" s="254"/>
      <c r="AL506" s="256"/>
      <c r="AM506" s="254" t="s">
        <v>287</v>
      </c>
      <c r="AO506" s="234">
        <v>0</v>
      </c>
      <c r="AP506" s="232">
        <f t="shared" si="19"/>
        <v>277355</v>
      </c>
      <c r="AQ506" s="230">
        <f t="shared" si="18"/>
        <v>7</v>
      </c>
    </row>
    <row r="507" spans="1:43">
      <c r="A507" s="254">
        <v>1</v>
      </c>
      <c r="B507" s="254" t="s">
        <v>273</v>
      </c>
      <c r="C507" s="254" t="s">
        <v>280</v>
      </c>
      <c r="D507" s="255">
        <v>45869</v>
      </c>
      <c r="E507" s="255">
        <v>45869</v>
      </c>
      <c r="F507" s="254" t="s">
        <v>281</v>
      </c>
      <c r="G507" s="254" t="s">
        <v>275</v>
      </c>
      <c r="H507" s="254"/>
      <c r="I507" s="254">
        <v>111</v>
      </c>
      <c r="J507" s="254" t="s">
        <v>276</v>
      </c>
      <c r="K507" s="254">
        <v>1533010002</v>
      </c>
      <c r="L507" s="256"/>
      <c r="M507" s="256"/>
      <c r="N507" s="256"/>
      <c r="O507" s="256"/>
      <c r="P507" s="256"/>
      <c r="Q507" s="256"/>
      <c r="R507" s="256"/>
      <c r="S507" s="256"/>
      <c r="T507" s="257">
        <v>-47450</v>
      </c>
      <c r="U507" s="254" t="s">
        <v>277</v>
      </c>
      <c r="V507" s="256"/>
      <c r="W507" s="256"/>
      <c r="X507" s="256"/>
      <c r="Y507" s="256"/>
      <c r="Z507" s="256"/>
      <c r="AA507" s="256"/>
      <c r="AB507" s="256"/>
      <c r="AC507" s="254" t="s">
        <v>278</v>
      </c>
      <c r="AD507" s="256"/>
      <c r="AE507" s="256"/>
      <c r="AF507" s="256">
        <v>20250731</v>
      </c>
      <c r="AG507" s="256"/>
      <c r="AH507" s="256"/>
      <c r="AI507" s="256">
        <v>20250731</v>
      </c>
      <c r="AJ507" s="254">
        <v>8002514406</v>
      </c>
      <c r="AK507" s="254"/>
      <c r="AL507" s="256"/>
      <c r="AM507" s="254" t="s">
        <v>283</v>
      </c>
      <c r="AO507" s="234" t="s">
        <v>115</v>
      </c>
      <c r="AP507" s="232">
        <f t="shared" si="19"/>
        <v>47450</v>
      </c>
      <c r="AQ507" s="230">
        <f t="shared" si="18"/>
        <v>7</v>
      </c>
    </row>
    <row r="508" spans="1:43">
      <c r="A508" s="254">
        <v>1</v>
      </c>
      <c r="B508" s="254" t="s">
        <v>273</v>
      </c>
      <c r="C508" s="254" t="s">
        <v>280</v>
      </c>
      <c r="D508" s="255">
        <v>45869</v>
      </c>
      <c r="E508" s="255">
        <v>45869</v>
      </c>
      <c r="F508" s="254" t="s">
        <v>281</v>
      </c>
      <c r="G508" s="254" t="s">
        <v>275</v>
      </c>
      <c r="H508" s="254"/>
      <c r="I508" s="254">
        <v>112</v>
      </c>
      <c r="J508" s="254" t="s">
        <v>276</v>
      </c>
      <c r="K508" s="254">
        <v>1533010002</v>
      </c>
      <c r="L508" s="256"/>
      <c r="M508" s="256"/>
      <c r="N508" s="256"/>
      <c r="O508" s="256"/>
      <c r="P508" s="256"/>
      <c r="Q508" s="256"/>
      <c r="R508" s="256"/>
      <c r="S508" s="256"/>
      <c r="T508" s="257">
        <v>-47450</v>
      </c>
      <c r="U508" s="254" t="s">
        <v>277</v>
      </c>
      <c r="V508" s="256"/>
      <c r="W508" s="256"/>
      <c r="X508" s="256"/>
      <c r="Y508" s="256"/>
      <c r="Z508" s="256"/>
      <c r="AA508" s="256"/>
      <c r="AB508" s="256"/>
      <c r="AC508" s="254" t="s">
        <v>278</v>
      </c>
      <c r="AD508" s="256"/>
      <c r="AE508" s="256"/>
      <c r="AF508" s="256">
        <v>20250731</v>
      </c>
      <c r="AG508" s="256"/>
      <c r="AH508" s="256"/>
      <c r="AI508" s="256">
        <v>20250731</v>
      </c>
      <c r="AJ508" s="254">
        <v>8600669427</v>
      </c>
      <c r="AK508" s="254"/>
      <c r="AL508" s="256"/>
      <c r="AM508" s="254" t="s">
        <v>289</v>
      </c>
      <c r="AO508" s="234" t="s">
        <v>101</v>
      </c>
      <c r="AP508" s="232">
        <f t="shared" si="19"/>
        <v>47450</v>
      </c>
      <c r="AQ508" s="230">
        <f t="shared" si="18"/>
        <v>7</v>
      </c>
    </row>
    <row r="509" spans="1:43">
      <c r="A509" s="254">
        <v>1</v>
      </c>
      <c r="B509" s="254" t="s">
        <v>273</v>
      </c>
      <c r="C509" s="254" t="s">
        <v>280</v>
      </c>
      <c r="D509" s="255">
        <v>45869</v>
      </c>
      <c r="E509" s="255">
        <v>45869</v>
      </c>
      <c r="F509" s="254" t="s">
        <v>281</v>
      </c>
      <c r="G509" s="254" t="s">
        <v>275</v>
      </c>
      <c r="H509" s="254"/>
      <c r="I509" s="254">
        <v>113</v>
      </c>
      <c r="J509" s="254" t="s">
        <v>276</v>
      </c>
      <c r="K509" s="254">
        <v>1533010002</v>
      </c>
      <c r="L509" s="256"/>
      <c r="M509" s="256"/>
      <c r="N509" s="256"/>
      <c r="O509" s="256"/>
      <c r="P509" s="256"/>
      <c r="Q509" s="256"/>
      <c r="R509" s="256"/>
      <c r="S509" s="256"/>
      <c r="T509" s="257">
        <v>-1567293</v>
      </c>
      <c r="U509" s="254" t="s">
        <v>277</v>
      </c>
      <c r="V509" s="256"/>
      <c r="W509" s="256"/>
      <c r="X509" s="256"/>
      <c r="Y509" s="256"/>
      <c r="Z509" s="256"/>
      <c r="AA509" s="256"/>
      <c r="AB509" s="256"/>
      <c r="AC509" s="254" t="s">
        <v>278</v>
      </c>
      <c r="AD509" s="256"/>
      <c r="AE509" s="256"/>
      <c r="AF509" s="256">
        <v>20250731</v>
      </c>
      <c r="AG509" s="256"/>
      <c r="AH509" s="256"/>
      <c r="AI509" s="256">
        <v>20250731</v>
      </c>
      <c r="AJ509" s="254">
        <v>8600021839</v>
      </c>
      <c r="AK509" s="254"/>
      <c r="AL509" s="256"/>
      <c r="AM509" s="254" t="s">
        <v>288</v>
      </c>
      <c r="AO509" s="234">
        <v>0</v>
      </c>
      <c r="AP509" s="232">
        <f t="shared" si="19"/>
        <v>1567293</v>
      </c>
      <c r="AQ509" s="230">
        <f t="shared" si="18"/>
        <v>7</v>
      </c>
    </row>
    <row r="510" spans="1:43">
      <c r="A510" s="254">
        <v>1</v>
      </c>
      <c r="B510" s="254" t="s">
        <v>273</v>
      </c>
      <c r="C510" s="254" t="s">
        <v>280</v>
      </c>
      <c r="D510" s="255">
        <v>45869</v>
      </c>
      <c r="E510" s="255">
        <v>45869</v>
      </c>
      <c r="F510" s="254" t="s">
        <v>281</v>
      </c>
      <c r="G510" s="254" t="s">
        <v>275</v>
      </c>
      <c r="H510" s="254"/>
      <c r="I510" s="254">
        <v>114</v>
      </c>
      <c r="J510" s="254" t="s">
        <v>276</v>
      </c>
      <c r="K510" s="254">
        <v>1533010002</v>
      </c>
      <c r="L510" s="256"/>
      <c r="M510" s="256"/>
      <c r="N510" s="256"/>
      <c r="O510" s="256"/>
      <c r="P510" s="256"/>
      <c r="Q510" s="256"/>
      <c r="R510" s="256"/>
      <c r="S510" s="256"/>
      <c r="T510" s="257">
        <v>-814943</v>
      </c>
      <c r="U510" s="254" t="s">
        <v>277</v>
      </c>
      <c r="V510" s="256"/>
      <c r="W510" s="256"/>
      <c r="X510" s="256"/>
      <c r="Y510" s="256"/>
      <c r="Z510" s="256"/>
      <c r="AA510" s="256"/>
      <c r="AB510" s="256"/>
      <c r="AC510" s="254" t="s">
        <v>278</v>
      </c>
      <c r="AD510" s="256"/>
      <c r="AE510" s="256"/>
      <c r="AF510" s="256">
        <v>20250731</v>
      </c>
      <c r="AG510" s="256"/>
      <c r="AH510" s="256"/>
      <c r="AI510" s="256">
        <v>20250731</v>
      </c>
      <c r="AJ510" s="254">
        <v>8000887022</v>
      </c>
      <c r="AK510" s="254"/>
      <c r="AL510" s="256"/>
      <c r="AM510" s="254" t="s">
        <v>292</v>
      </c>
      <c r="AO510" s="234" t="s">
        <v>108</v>
      </c>
      <c r="AP510" s="232">
        <f t="shared" si="19"/>
        <v>814943</v>
      </c>
      <c r="AQ510" s="230">
        <f t="shared" si="18"/>
        <v>7</v>
      </c>
    </row>
    <row r="511" spans="1:43">
      <c r="A511" s="254">
        <v>1</v>
      </c>
      <c r="B511" s="254" t="s">
        <v>273</v>
      </c>
      <c r="C511" s="254" t="s">
        <v>280</v>
      </c>
      <c r="D511" s="255">
        <v>45869</v>
      </c>
      <c r="E511" s="255">
        <v>45869</v>
      </c>
      <c r="F511" s="254" t="s">
        <v>281</v>
      </c>
      <c r="G511" s="254" t="s">
        <v>275</v>
      </c>
      <c r="H511" s="254"/>
      <c r="I511" s="254">
        <v>115</v>
      </c>
      <c r="J511" s="254" t="s">
        <v>276</v>
      </c>
      <c r="K511" s="254">
        <v>1533010002</v>
      </c>
      <c r="L511" s="256"/>
      <c r="M511" s="256"/>
      <c r="N511" s="256"/>
      <c r="O511" s="256"/>
      <c r="P511" s="256"/>
      <c r="Q511" s="256"/>
      <c r="R511" s="256"/>
      <c r="S511" s="256"/>
      <c r="T511" s="257">
        <v>-2828778</v>
      </c>
      <c r="U511" s="254" t="s">
        <v>277</v>
      </c>
      <c r="V511" s="256"/>
      <c r="W511" s="256"/>
      <c r="X511" s="256"/>
      <c r="Y511" s="256"/>
      <c r="Z511" s="256"/>
      <c r="AA511" s="256"/>
      <c r="AB511" s="256"/>
      <c r="AC511" s="254" t="s">
        <v>278</v>
      </c>
      <c r="AD511" s="256"/>
      <c r="AE511" s="256"/>
      <c r="AF511" s="256">
        <v>20250731</v>
      </c>
      <c r="AG511" s="256"/>
      <c r="AH511" s="256"/>
      <c r="AI511" s="256">
        <v>20250731</v>
      </c>
      <c r="AJ511" s="254">
        <v>8600021839</v>
      </c>
      <c r="AK511" s="254"/>
      <c r="AL511" s="256"/>
      <c r="AM511" s="254" t="s">
        <v>288</v>
      </c>
      <c r="AO511" s="234">
        <v>0</v>
      </c>
      <c r="AP511" s="232">
        <f t="shared" si="19"/>
        <v>2828778</v>
      </c>
      <c r="AQ511" s="230">
        <f t="shared" si="18"/>
        <v>7</v>
      </c>
    </row>
    <row r="512" spans="1:43">
      <c r="A512" s="254">
        <v>1</v>
      </c>
      <c r="B512" s="254" t="s">
        <v>273</v>
      </c>
      <c r="C512" s="254" t="s">
        <v>280</v>
      </c>
      <c r="D512" s="255">
        <v>45869</v>
      </c>
      <c r="E512" s="255">
        <v>45869</v>
      </c>
      <c r="F512" s="254" t="s">
        <v>281</v>
      </c>
      <c r="G512" s="254" t="s">
        <v>275</v>
      </c>
      <c r="H512" s="254"/>
      <c r="I512" s="254">
        <v>116</v>
      </c>
      <c r="J512" s="254" t="s">
        <v>276</v>
      </c>
      <c r="K512" s="254">
        <v>1533010002</v>
      </c>
      <c r="L512" s="256"/>
      <c r="M512" s="256"/>
      <c r="N512" s="256"/>
      <c r="O512" s="256"/>
      <c r="P512" s="256"/>
      <c r="Q512" s="256"/>
      <c r="R512" s="256"/>
      <c r="S512" s="256"/>
      <c r="T512" s="257">
        <v>-237250</v>
      </c>
      <c r="U512" s="254" t="s">
        <v>277</v>
      </c>
      <c r="V512" s="256"/>
      <c r="W512" s="256"/>
      <c r="X512" s="256"/>
      <c r="Y512" s="256"/>
      <c r="Z512" s="256"/>
      <c r="AA512" s="256"/>
      <c r="AB512" s="256"/>
      <c r="AC512" s="254" t="s">
        <v>278</v>
      </c>
      <c r="AD512" s="256"/>
      <c r="AE512" s="256"/>
      <c r="AF512" s="256">
        <v>20250731</v>
      </c>
      <c r="AG512" s="256"/>
      <c r="AH512" s="256"/>
      <c r="AI512" s="256">
        <v>20250731</v>
      </c>
      <c r="AJ512" s="254">
        <v>8002514406</v>
      </c>
      <c r="AK512" s="254"/>
      <c r="AL512" s="256"/>
      <c r="AM512" s="254" t="s">
        <v>283</v>
      </c>
      <c r="AO512" s="234" t="s">
        <v>115</v>
      </c>
      <c r="AP512" s="232">
        <f t="shared" si="19"/>
        <v>237250</v>
      </c>
      <c r="AQ512" s="230">
        <f t="shared" si="18"/>
        <v>7</v>
      </c>
    </row>
    <row r="513" spans="1:43">
      <c r="A513" s="254">
        <v>1</v>
      </c>
      <c r="B513" s="254" t="s">
        <v>273</v>
      </c>
      <c r="C513" s="254" t="s">
        <v>280</v>
      </c>
      <c r="D513" s="255">
        <v>45869</v>
      </c>
      <c r="E513" s="255">
        <v>45869</v>
      </c>
      <c r="F513" s="254" t="s">
        <v>281</v>
      </c>
      <c r="G513" s="254" t="s">
        <v>275</v>
      </c>
      <c r="H513" s="254"/>
      <c r="I513" s="254">
        <v>117</v>
      </c>
      <c r="J513" s="254" t="s">
        <v>276</v>
      </c>
      <c r="K513" s="254">
        <v>1533010002</v>
      </c>
      <c r="L513" s="256"/>
      <c r="M513" s="256"/>
      <c r="N513" s="256"/>
      <c r="O513" s="256"/>
      <c r="P513" s="256"/>
      <c r="Q513" s="256"/>
      <c r="R513" s="256"/>
      <c r="S513" s="256"/>
      <c r="T513" s="257">
        <v>-5578592</v>
      </c>
      <c r="U513" s="254" t="s">
        <v>277</v>
      </c>
      <c r="V513" s="256"/>
      <c r="W513" s="256"/>
      <c r="X513" s="256"/>
      <c r="Y513" s="256"/>
      <c r="Z513" s="256"/>
      <c r="AA513" s="256"/>
      <c r="AB513" s="256"/>
      <c r="AC513" s="254" t="s">
        <v>278</v>
      </c>
      <c r="AD513" s="256"/>
      <c r="AE513" s="256"/>
      <c r="AF513" s="256">
        <v>20250731</v>
      </c>
      <c r="AG513" s="256"/>
      <c r="AH513" s="256"/>
      <c r="AI513" s="256">
        <v>20250731</v>
      </c>
      <c r="AJ513" s="254">
        <v>8600669427</v>
      </c>
      <c r="AK513" s="254"/>
      <c r="AL513" s="256"/>
      <c r="AM513" s="254" t="s">
        <v>289</v>
      </c>
      <c r="AO513" s="234" t="s">
        <v>101</v>
      </c>
      <c r="AP513" s="232">
        <f t="shared" si="19"/>
        <v>5578592</v>
      </c>
      <c r="AQ513" s="230">
        <f t="shared" si="18"/>
        <v>7</v>
      </c>
    </row>
    <row r="514" spans="1:43">
      <c r="A514" s="254">
        <v>1</v>
      </c>
      <c r="B514" s="254" t="s">
        <v>273</v>
      </c>
      <c r="C514" s="254" t="s">
        <v>280</v>
      </c>
      <c r="D514" s="255">
        <v>45869</v>
      </c>
      <c r="E514" s="255">
        <v>45869</v>
      </c>
      <c r="F514" s="254" t="s">
        <v>281</v>
      </c>
      <c r="G514" s="254" t="s">
        <v>275</v>
      </c>
      <c r="H514" s="254"/>
      <c r="I514" s="254">
        <v>118</v>
      </c>
      <c r="J514" s="254" t="s">
        <v>276</v>
      </c>
      <c r="K514" s="254">
        <v>1533010002</v>
      </c>
      <c r="L514" s="256"/>
      <c r="M514" s="256"/>
      <c r="N514" s="256"/>
      <c r="O514" s="256"/>
      <c r="P514" s="256"/>
      <c r="Q514" s="256"/>
      <c r="R514" s="256"/>
      <c r="S514" s="256"/>
      <c r="T514" s="257">
        <v>-996450</v>
      </c>
      <c r="U514" s="254" t="s">
        <v>277</v>
      </c>
      <c r="V514" s="256"/>
      <c r="W514" s="256"/>
      <c r="X514" s="256"/>
      <c r="Y514" s="256"/>
      <c r="Z514" s="256"/>
      <c r="AA514" s="256"/>
      <c r="AB514" s="256"/>
      <c r="AC514" s="254" t="s">
        <v>278</v>
      </c>
      <c r="AD514" s="256"/>
      <c r="AE514" s="256"/>
      <c r="AF514" s="256">
        <v>20250731</v>
      </c>
      <c r="AG514" s="256"/>
      <c r="AH514" s="256"/>
      <c r="AI514" s="256">
        <v>20250731</v>
      </c>
      <c r="AJ514" s="254">
        <v>8000887022</v>
      </c>
      <c r="AK514" s="254"/>
      <c r="AL514" s="256"/>
      <c r="AM514" s="254" t="s">
        <v>292</v>
      </c>
      <c r="AO514" s="234" t="s">
        <v>108</v>
      </c>
      <c r="AP514" s="232">
        <f t="shared" si="19"/>
        <v>996450</v>
      </c>
      <c r="AQ514" s="230">
        <f t="shared" si="18"/>
        <v>7</v>
      </c>
    </row>
    <row r="515" spans="1:43">
      <c r="A515" s="254">
        <v>1</v>
      </c>
      <c r="B515" s="254" t="s">
        <v>273</v>
      </c>
      <c r="C515" s="254" t="s">
        <v>280</v>
      </c>
      <c r="D515" s="255">
        <v>45869</v>
      </c>
      <c r="E515" s="255">
        <v>45869</v>
      </c>
      <c r="F515" s="254" t="s">
        <v>281</v>
      </c>
      <c r="G515" s="254" t="s">
        <v>275</v>
      </c>
      <c r="H515" s="254"/>
      <c r="I515" s="254">
        <v>119</v>
      </c>
      <c r="J515" s="254" t="s">
        <v>276</v>
      </c>
      <c r="K515" s="254">
        <v>1533010002</v>
      </c>
      <c r="L515" s="256"/>
      <c r="M515" s="256"/>
      <c r="N515" s="256"/>
      <c r="O515" s="256"/>
      <c r="P515" s="256"/>
      <c r="Q515" s="256"/>
      <c r="R515" s="256"/>
      <c r="S515" s="256"/>
      <c r="T515" s="257">
        <v>-521950</v>
      </c>
      <c r="U515" s="254" t="s">
        <v>277</v>
      </c>
      <c r="V515" s="256"/>
      <c r="W515" s="256"/>
      <c r="X515" s="256"/>
      <c r="Y515" s="256"/>
      <c r="Z515" s="256"/>
      <c r="AA515" s="256"/>
      <c r="AB515" s="256"/>
      <c r="AC515" s="254" t="s">
        <v>278</v>
      </c>
      <c r="AD515" s="256"/>
      <c r="AE515" s="256"/>
      <c r="AF515" s="256">
        <v>20250731</v>
      </c>
      <c r="AG515" s="256"/>
      <c r="AH515" s="256"/>
      <c r="AI515" s="256">
        <v>20250731</v>
      </c>
      <c r="AJ515" s="254">
        <v>8002514406</v>
      </c>
      <c r="AK515" s="254"/>
      <c r="AL515" s="256"/>
      <c r="AM515" s="254" t="s">
        <v>283</v>
      </c>
      <c r="AO515" s="234" t="s">
        <v>115</v>
      </c>
      <c r="AP515" s="232">
        <f t="shared" si="19"/>
        <v>521950</v>
      </c>
      <c r="AQ515" s="230">
        <f t="shared" ref="AQ515:AQ578" si="20">+MONTH(D515)</f>
        <v>7</v>
      </c>
    </row>
    <row r="516" spans="1:43">
      <c r="A516" s="254">
        <v>1</v>
      </c>
      <c r="B516" s="254" t="s">
        <v>273</v>
      </c>
      <c r="C516" s="254" t="s">
        <v>280</v>
      </c>
      <c r="D516" s="255">
        <v>45869</v>
      </c>
      <c r="E516" s="255">
        <v>45869</v>
      </c>
      <c r="F516" s="254" t="s">
        <v>281</v>
      </c>
      <c r="G516" s="254" t="s">
        <v>275</v>
      </c>
      <c r="H516" s="254"/>
      <c r="I516" s="254">
        <v>120</v>
      </c>
      <c r="J516" s="254" t="s">
        <v>276</v>
      </c>
      <c r="K516" s="254">
        <v>1533010002</v>
      </c>
      <c r="L516" s="256"/>
      <c r="M516" s="256"/>
      <c r="N516" s="256"/>
      <c r="O516" s="256"/>
      <c r="P516" s="256"/>
      <c r="Q516" s="256"/>
      <c r="R516" s="256"/>
      <c r="S516" s="256"/>
      <c r="T516" s="257">
        <v>-189800</v>
      </c>
      <c r="U516" s="254" t="s">
        <v>277</v>
      </c>
      <c r="V516" s="256"/>
      <c r="W516" s="256"/>
      <c r="X516" s="256"/>
      <c r="Y516" s="256"/>
      <c r="Z516" s="256"/>
      <c r="AA516" s="256"/>
      <c r="AB516" s="256"/>
      <c r="AC516" s="254" t="s">
        <v>278</v>
      </c>
      <c r="AD516" s="256"/>
      <c r="AE516" s="256"/>
      <c r="AF516" s="256">
        <v>20250731</v>
      </c>
      <c r="AG516" s="256"/>
      <c r="AH516" s="256"/>
      <c r="AI516" s="256">
        <v>20250731</v>
      </c>
      <c r="AJ516" s="254">
        <v>8300035647</v>
      </c>
      <c r="AK516" s="254"/>
      <c r="AL516" s="256"/>
      <c r="AM516" s="254" t="s">
        <v>286</v>
      </c>
      <c r="AO516" s="234" t="s">
        <v>109</v>
      </c>
      <c r="AP516" s="232">
        <f t="shared" si="19"/>
        <v>189800</v>
      </c>
      <c r="AQ516" s="230">
        <f t="shared" si="20"/>
        <v>7</v>
      </c>
    </row>
    <row r="517" spans="1:43">
      <c r="A517" s="254">
        <v>1</v>
      </c>
      <c r="B517" s="254" t="s">
        <v>273</v>
      </c>
      <c r="C517" s="254" t="s">
        <v>280</v>
      </c>
      <c r="D517" s="255">
        <v>45869</v>
      </c>
      <c r="E517" s="255">
        <v>45869</v>
      </c>
      <c r="F517" s="254" t="s">
        <v>281</v>
      </c>
      <c r="G517" s="254" t="s">
        <v>275</v>
      </c>
      <c r="H517" s="254"/>
      <c r="I517" s="254">
        <v>121</v>
      </c>
      <c r="J517" s="254" t="s">
        <v>276</v>
      </c>
      <c r="K517" s="254">
        <v>1533010002</v>
      </c>
      <c r="L517" s="256"/>
      <c r="M517" s="256"/>
      <c r="N517" s="256"/>
      <c r="O517" s="256"/>
      <c r="P517" s="256"/>
      <c r="Q517" s="256"/>
      <c r="R517" s="256"/>
      <c r="S517" s="256"/>
      <c r="T517" s="257">
        <v>-895545</v>
      </c>
      <c r="U517" s="254" t="s">
        <v>277</v>
      </c>
      <c r="V517" s="256"/>
      <c r="W517" s="256"/>
      <c r="X517" s="256"/>
      <c r="Y517" s="256"/>
      <c r="Z517" s="256"/>
      <c r="AA517" s="256"/>
      <c r="AB517" s="256"/>
      <c r="AC517" s="254" t="s">
        <v>278</v>
      </c>
      <c r="AD517" s="256"/>
      <c r="AE517" s="256"/>
      <c r="AF517" s="256">
        <v>20250731</v>
      </c>
      <c r="AG517" s="256"/>
      <c r="AH517" s="256"/>
      <c r="AI517" s="256">
        <v>20250731</v>
      </c>
      <c r="AJ517" s="254">
        <v>8600021839</v>
      </c>
      <c r="AK517" s="254"/>
      <c r="AL517" s="256"/>
      <c r="AM517" s="254" t="s">
        <v>288</v>
      </c>
      <c r="AO517" s="234">
        <v>0</v>
      </c>
      <c r="AP517" s="232">
        <f t="shared" si="19"/>
        <v>895545</v>
      </c>
      <c r="AQ517" s="230">
        <f t="shared" si="20"/>
        <v>7</v>
      </c>
    </row>
    <row r="518" spans="1:43">
      <c r="A518" s="254">
        <v>1</v>
      </c>
      <c r="B518" s="254" t="s">
        <v>273</v>
      </c>
      <c r="C518" s="254" t="s">
        <v>280</v>
      </c>
      <c r="D518" s="255">
        <v>45869</v>
      </c>
      <c r="E518" s="255">
        <v>45869</v>
      </c>
      <c r="F518" s="254" t="s">
        <v>281</v>
      </c>
      <c r="G518" s="254" t="s">
        <v>275</v>
      </c>
      <c r="H518" s="254"/>
      <c r="I518" s="254">
        <v>122</v>
      </c>
      <c r="J518" s="254" t="s">
        <v>276</v>
      </c>
      <c r="K518" s="254">
        <v>1533010002</v>
      </c>
      <c r="L518" s="256"/>
      <c r="M518" s="256"/>
      <c r="N518" s="256"/>
      <c r="O518" s="256"/>
      <c r="P518" s="256"/>
      <c r="Q518" s="256"/>
      <c r="R518" s="256"/>
      <c r="S518" s="256"/>
      <c r="T518" s="257">
        <v>-15378195</v>
      </c>
      <c r="U518" s="254" t="s">
        <v>277</v>
      </c>
      <c r="V518" s="256"/>
      <c r="W518" s="256"/>
      <c r="X518" s="256"/>
      <c r="Y518" s="256"/>
      <c r="Z518" s="256"/>
      <c r="AA518" s="256"/>
      <c r="AB518" s="256"/>
      <c r="AC518" s="254" t="s">
        <v>278</v>
      </c>
      <c r="AD518" s="256"/>
      <c r="AE518" s="256"/>
      <c r="AF518" s="256">
        <v>20250731</v>
      </c>
      <c r="AG518" s="256"/>
      <c r="AH518" s="256"/>
      <c r="AI518" s="256">
        <v>20250731</v>
      </c>
      <c r="AJ518" s="254">
        <v>8600669427</v>
      </c>
      <c r="AK518" s="254"/>
      <c r="AL518" s="256"/>
      <c r="AM518" s="254" t="s">
        <v>289</v>
      </c>
      <c r="AO518" s="234" t="s">
        <v>101</v>
      </c>
      <c r="AP518" s="232">
        <f t="shared" si="19"/>
        <v>15378195</v>
      </c>
      <c r="AQ518" s="230">
        <f t="shared" si="20"/>
        <v>7</v>
      </c>
    </row>
    <row r="519" spans="1:43">
      <c r="A519" s="254">
        <v>1</v>
      </c>
      <c r="B519" s="254" t="s">
        <v>273</v>
      </c>
      <c r="C519" s="254" t="s">
        <v>280</v>
      </c>
      <c r="D519" s="255">
        <v>45869</v>
      </c>
      <c r="E519" s="255">
        <v>45869</v>
      </c>
      <c r="F519" s="254" t="s">
        <v>281</v>
      </c>
      <c r="G519" s="254" t="s">
        <v>275</v>
      </c>
      <c r="H519" s="254"/>
      <c r="I519" s="254">
        <v>123</v>
      </c>
      <c r="J519" s="254" t="s">
        <v>276</v>
      </c>
      <c r="K519" s="254">
        <v>1533010002</v>
      </c>
      <c r="L519" s="256"/>
      <c r="M519" s="256"/>
      <c r="N519" s="256"/>
      <c r="O519" s="256"/>
      <c r="P519" s="256"/>
      <c r="Q519" s="256"/>
      <c r="R519" s="256"/>
      <c r="S519" s="256"/>
      <c r="T519" s="257">
        <v>-381869</v>
      </c>
      <c r="U519" s="254" t="s">
        <v>277</v>
      </c>
      <c r="V519" s="256"/>
      <c r="W519" s="256"/>
      <c r="X519" s="256"/>
      <c r="Y519" s="256"/>
      <c r="Z519" s="256"/>
      <c r="AA519" s="256"/>
      <c r="AB519" s="256"/>
      <c r="AC519" s="254" t="s">
        <v>278</v>
      </c>
      <c r="AD519" s="256"/>
      <c r="AE519" s="256"/>
      <c r="AF519" s="256">
        <v>20250731</v>
      </c>
      <c r="AG519" s="256"/>
      <c r="AH519" s="256"/>
      <c r="AI519" s="256">
        <v>20250731</v>
      </c>
      <c r="AJ519" s="254">
        <v>8600021839</v>
      </c>
      <c r="AK519" s="254"/>
      <c r="AL519" s="256"/>
      <c r="AM519" s="254" t="s">
        <v>288</v>
      </c>
      <c r="AO519" s="234">
        <v>0</v>
      </c>
      <c r="AP519" s="232">
        <f t="shared" si="19"/>
        <v>381869</v>
      </c>
      <c r="AQ519" s="230">
        <f t="shared" si="20"/>
        <v>7</v>
      </c>
    </row>
    <row r="520" spans="1:43">
      <c r="A520" s="254">
        <v>1</v>
      </c>
      <c r="B520" s="254" t="s">
        <v>273</v>
      </c>
      <c r="C520" s="254" t="s">
        <v>280</v>
      </c>
      <c r="D520" s="255">
        <v>45869</v>
      </c>
      <c r="E520" s="255">
        <v>45869</v>
      </c>
      <c r="F520" s="254" t="s">
        <v>281</v>
      </c>
      <c r="G520" s="254" t="s">
        <v>275</v>
      </c>
      <c r="H520" s="254"/>
      <c r="I520" s="254">
        <v>124</v>
      </c>
      <c r="J520" s="254" t="s">
        <v>276</v>
      </c>
      <c r="K520" s="254">
        <v>1533010002</v>
      </c>
      <c r="L520" s="256"/>
      <c r="M520" s="256"/>
      <c r="N520" s="256"/>
      <c r="O520" s="256"/>
      <c r="P520" s="256"/>
      <c r="Q520" s="256"/>
      <c r="R520" s="256"/>
      <c r="S520" s="256"/>
      <c r="T520" s="257">
        <v>-2894450</v>
      </c>
      <c r="U520" s="254" t="s">
        <v>277</v>
      </c>
      <c r="V520" s="256"/>
      <c r="W520" s="256"/>
      <c r="X520" s="256"/>
      <c r="Y520" s="256"/>
      <c r="Z520" s="256"/>
      <c r="AA520" s="256"/>
      <c r="AB520" s="256"/>
      <c r="AC520" s="254" t="s">
        <v>278</v>
      </c>
      <c r="AD520" s="256"/>
      <c r="AE520" s="256"/>
      <c r="AF520" s="256">
        <v>20250731</v>
      </c>
      <c r="AG520" s="256"/>
      <c r="AH520" s="256"/>
      <c r="AI520" s="256">
        <v>20250731</v>
      </c>
      <c r="AJ520" s="254">
        <v>8300035647</v>
      </c>
      <c r="AK520" s="254"/>
      <c r="AL520" s="256"/>
      <c r="AM520" s="254" t="s">
        <v>286</v>
      </c>
      <c r="AO520" s="234" t="s">
        <v>109</v>
      </c>
      <c r="AP520" s="232">
        <f t="shared" si="19"/>
        <v>2894450</v>
      </c>
      <c r="AQ520" s="230">
        <f t="shared" si="20"/>
        <v>7</v>
      </c>
    </row>
    <row r="521" spans="1:43">
      <c r="A521" s="254">
        <v>1</v>
      </c>
      <c r="B521" s="254" t="s">
        <v>273</v>
      </c>
      <c r="C521" s="254" t="s">
        <v>280</v>
      </c>
      <c r="D521" s="255">
        <v>45869</v>
      </c>
      <c r="E521" s="255">
        <v>45869</v>
      </c>
      <c r="F521" s="254" t="s">
        <v>281</v>
      </c>
      <c r="G521" s="254" t="s">
        <v>275</v>
      </c>
      <c r="H521" s="254"/>
      <c r="I521" s="254">
        <v>125</v>
      </c>
      <c r="J521" s="254" t="s">
        <v>276</v>
      </c>
      <c r="K521" s="254">
        <v>1533010002</v>
      </c>
      <c r="L521" s="256"/>
      <c r="M521" s="256"/>
      <c r="N521" s="256"/>
      <c r="O521" s="256"/>
      <c r="P521" s="256"/>
      <c r="Q521" s="256"/>
      <c r="R521" s="256"/>
      <c r="S521" s="256"/>
      <c r="T521" s="257">
        <v>-996450</v>
      </c>
      <c r="U521" s="254" t="s">
        <v>277</v>
      </c>
      <c r="V521" s="256"/>
      <c r="W521" s="256"/>
      <c r="X521" s="256"/>
      <c r="Y521" s="256"/>
      <c r="Z521" s="256"/>
      <c r="AA521" s="256"/>
      <c r="AB521" s="256"/>
      <c r="AC521" s="254" t="s">
        <v>278</v>
      </c>
      <c r="AD521" s="256"/>
      <c r="AE521" s="256"/>
      <c r="AF521" s="256">
        <v>20250731</v>
      </c>
      <c r="AG521" s="256"/>
      <c r="AH521" s="256"/>
      <c r="AI521" s="256">
        <v>20250731</v>
      </c>
      <c r="AJ521" s="254">
        <v>8002514406</v>
      </c>
      <c r="AK521" s="254"/>
      <c r="AL521" s="256"/>
      <c r="AM521" s="254" t="s">
        <v>283</v>
      </c>
      <c r="AO521" s="234" t="s">
        <v>115</v>
      </c>
      <c r="AP521" s="232">
        <f t="shared" si="19"/>
        <v>996450</v>
      </c>
      <c r="AQ521" s="230">
        <f t="shared" si="20"/>
        <v>7</v>
      </c>
    </row>
    <row r="522" spans="1:43">
      <c r="A522" s="254">
        <v>1</v>
      </c>
      <c r="B522" s="254" t="s">
        <v>273</v>
      </c>
      <c r="C522" s="254" t="s">
        <v>280</v>
      </c>
      <c r="D522" s="255">
        <v>45869</v>
      </c>
      <c r="E522" s="255">
        <v>45869</v>
      </c>
      <c r="F522" s="254" t="s">
        <v>281</v>
      </c>
      <c r="G522" s="254" t="s">
        <v>275</v>
      </c>
      <c r="H522" s="254"/>
      <c r="I522" s="254">
        <v>126</v>
      </c>
      <c r="J522" s="254" t="s">
        <v>276</v>
      </c>
      <c r="K522" s="254">
        <v>1533010002</v>
      </c>
      <c r="L522" s="256"/>
      <c r="M522" s="256"/>
      <c r="N522" s="256"/>
      <c r="O522" s="256"/>
      <c r="P522" s="256"/>
      <c r="Q522" s="256"/>
      <c r="R522" s="256"/>
      <c r="S522" s="256"/>
      <c r="T522" s="257">
        <v>-51870136</v>
      </c>
      <c r="U522" s="254" t="s">
        <v>277</v>
      </c>
      <c r="V522" s="256"/>
      <c r="W522" s="256"/>
      <c r="X522" s="256"/>
      <c r="Y522" s="256"/>
      <c r="Z522" s="256"/>
      <c r="AA522" s="256"/>
      <c r="AB522" s="256"/>
      <c r="AC522" s="254" t="s">
        <v>278</v>
      </c>
      <c r="AD522" s="256"/>
      <c r="AE522" s="256"/>
      <c r="AF522" s="256">
        <v>20250731</v>
      </c>
      <c r="AG522" s="256"/>
      <c r="AH522" s="256"/>
      <c r="AI522" s="256">
        <v>20250731</v>
      </c>
      <c r="AJ522" s="254">
        <v>8002514406</v>
      </c>
      <c r="AK522" s="254"/>
      <c r="AL522" s="256"/>
      <c r="AM522" s="254" t="s">
        <v>283</v>
      </c>
      <c r="AO522" s="234" t="s">
        <v>115</v>
      </c>
      <c r="AP522" s="232">
        <f t="shared" si="19"/>
        <v>51870136</v>
      </c>
      <c r="AQ522" s="230">
        <f t="shared" si="20"/>
        <v>7</v>
      </c>
    </row>
    <row r="523" spans="1:43">
      <c r="A523" s="254">
        <v>1</v>
      </c>
      <c r="B523" s="254" t="s">
        <v>273</v>
      </c>
      <c r="C523" s="254" t="s">
        <v>280</v>
      </c>
      <c r="D523" s="255">
        <v>45869</v>
      </c>
      <c r="E523" s="255">
        <v>45869</v>
      </c>
      <c r="F523" s="254" t="s">
        <v>281</v>
      </c>
      <c r="G523" s="254" t="s">
        <v>275</v>
      </c>
      <c r="H523" s="254"/>
      <c r="I523" s="254">
        <v>127</v>
      </c>
      <c r="J523" s="254" t="s">
        <v>276</v>
      </c>
      <c r="K523" s="254">
        <v>1533010002</v>
      </c>
      <c r="L523" s="256"/>
      <c r="M523" s="256"/>
      <c r="N523" s="256"/>
      <c r="O523" s="256"/>
      <c r="P523" s="256"/>
      <c r="Q523" s="256"/>
      <c r="R523" s="256"/>
      <c r="S523" s="256"/>
      <c r="T523" s="257">
        <v>-3087656</v>
      </c>
      <c r="U523" s="254" t="s">
        <v>277</v>
      </c>
      <c r="V523" s="256"/>
      <c r="W523" s="256"/>
      <c r="X523" s="256"/>
      <c r="Y523" s="256"/>
      <c r="Z523" s="256"/>
      <c r="AA523" s="256"/>
      <c r="AB523" s="256"/>
      <c r="AC523" s="254" t="s">
        <v>278</v>
      </c>
      <c r="AD523" s="256"/>
      <c r="AE523" s="256"/>
      <c r="AF523" s="256">
        <v>20250731</v>
      </c>
      <c r="AG523" s="256"/>
      <c r="AH523" s="256"/>
      <c r="AI523" s="256">
        <v>20250731</v>
      </c>
      <c r="AJ523" s="254">
        <v>8000887022</v>
      </c>
      <c r="AK523" s="254"/>
      <c r="AL523" s="256"/>
      <c r="AM523" s="254" t="s">
        <v>292</v>
      </c>
      <c r="AO523" s="234" t="s">
        <v>108</v>
      </c>
      <c r="AP523" s="232">
        <f t="shared" si="19"/>
        <v>3087656</v>
      </c>
      <c r="AQ523" s="230">
        <f t="shared" si="20"/>
        <v>7</v>
      </c>
    </row>
    <row r="524" spans="1:43">
      <c r="A524" s="254">
        <v>1</v>
      </c>
      <c r="B524" s="254" t="s">
        <v>273</v>
      </c>
      <c r="C524" s="254" t="s">
        <v>280</v>
      </c>
      <c r="D524" s="255">
        <v>45869</v>
      </c>
      <c r="E524" s="255">
        <v>45869</v>
      </c>
      <c r="F524" s="254" t="s">
        <v>281</v>
      </c>
      <c r="G524" s="254" t="s">
        <v>275</v>
      </c>
      <c r="H524" s="254"/>
      <c r="I524" s="254">
        <v>128</v>
      </c>
      <c r="J524" s="254" t="s">
        <v>276</v>
      </c>
      <c r="K524" s="254">
        <v>1533010002</v>
      </c>
      <c r="L524" s="256"/>
      <c r="M524" s="256"/>
      <c r="N524" s="256"/>
      <c r="O524" s="256"/>
      <c r="P524" s="256"/>
      <c r="Q524" s="256"/>
      <c r="R524" s="256"/>
      <c r="S524" s="256"/>
      <c r="T524" s="257">
        <v>-3186444</v>
      </c>
      <c r="U524" s="254" t="s">
        <v>277</v>
      </c>
      <c r="V524" s="256"/>
      <c r="W524" s="256"/>
      <c r="X524" s="256"/>
      <c r="Y524" s="256"/>
      <c r="Z524" s="256"/>
      <c r="AA524" s="256"/>
      <c r="AB524" s="256"/>
      <c r="AC524" s="254" t="s">
        <v>278</v>
      </c>
      <c r="AD524" s="256"/>
      <c r="AE524" s="256"/>
      <c r="AF524" s="256">
        <v>20250731</v>
      </c>
      <c r="AG524" s="256"/>
      <c r="AH524" s="256"/>
      <c r="AI524" s="256">
        <v>20250731</v>
      </c>
      <c r="AJ524" s="254">
        <v>8301138310</v>
      </c>
      <c r="AK524" s="254"/>
      <c r="AL524" s="256"/>
      <c r="AM524" s="254" t="s">
        <v>287</v>
      </c>
      <c r="AO524" s="234">
        <v>0</v>
      </c>
      <c r="AP524" s="232">
        <f t="shared" si="19"/>
        <v>3186444</v>
      </c>
      <c r="AQ524" s="230">
        <f t="shared" si="20"/>
        <v>7</v>
      </c>
    </row>
    <row r="525" spans="1:43">
      <c r="A525" s="254">
        <v>1</v>
      </c>
      <c r="B525" s="254" t="s">
        <v>273</v>
      </c>
      <c r="C525" s="254" t="s">
        <v>280</v>
      </c>
      <c r="D525" s="255">
        <v>45869</v>
      </c>
      <c r="E525" s="255">
        <v>45869</v>
      </c>
      <c r="F525" s="254" t="s">
        <v>281</v>
      </c>
      <c r="G525" s="254" t="s">
        <v>275</v>
      </c>
      <c r="H525" s="254"/>
      <c r="I525" s="254">
        <v>129</v>
      </c>
      <c r="J525" s="254" t="s">
        <v>276</v>
      </c>
      <c r="K525" s="254">
        <v>1533010002</v>
      </c>
      <c r="L525" s="256"/>
      <c r="M525" s="256"/>
      <c r="N525" s="256"/>
      <c r="O525" s="256"/>
      <c r="P525" s="256"/>
      <c r="Q525" s="256"/>
      <c r="R525" s="256"/>
      <c r="S525" s="256"/>
      <c r="T525" s="257">
        <v>-142350</v>
      </c>
      <c r="U525" s="254" t="s">
        <v>277</v>
      </c>
      <c r="V525" s="256"/>
      <c r="W525" s="256"/>
      <c r="X525" s="256"/>
      <c r="Y525" s="256"/>
      <c r="Z525" s="256"/>
      <c r="AA525" s="256"/>
      <c r="AB525" s="256"/>
      <c r="AC525" s="254" t="s">
        <v>278</v>
      </c>
      <c r="AD525" s="256"/>
      <c r="AE525" s="256"/>
      <c r="AF525" s="256">
        <v>20250731</v>
      </c>
      <c r="AG525" s="256"/>
      <c r="AH525" s="256"/>
      <c r="AI525" s="256">
        <v>20250731</v>
      </c>
      <c r="AJ525" s="254">
        <v>8060083947</v>
      </c>
      <c r="AK525" s="254"/>
      <c r="AL525" s="256"/>
      <c r="AM525" s="254" t="s">
        <v>298</v>
      </c>
      <c r="AO525" s="234">
        <v>0</v>
      </c>
      <c r="AP525" s="232">
        <f t="shared" si="19"/>
        <v>142350</v>
      </c>
      <c r="AQ525" s="230">
        <f t="shared" si="20"/>
        <v>7</v>
      </c>
    </row>
    <row r="526" spans="1:43">
      <c r="A526" s="254">
        <v>1</v>
      </c>
      <c r="B526" s="254" t="s">
        <v>273</v>
      </c>
      <c r="C526" s="254" t="s">
        <v>280</v>
      </c>
      <c r="D526" s="255">
        <v>45869</v>
      </c>
      <c r="E526" s="255">
        <v>45869</v>
      </c>
      <c r="F526" s="254" t="s">
        <v>281</v>
      </c>
      <c r="G526" s="254" t="s">
        <v>275</v>
      </c>
      <c r="H526" s="254"/>
      <c r="I526" s="254">
        <v>130</v>
      </c>
      <c r="J526" s="254" t="s">
        <v>276</v>
      </c>
      <c r="K526" s="254">
        <v>1533010002</v>
      </c>
      <c r="L526" s="256"/>
      <c r="M526" s="256"/>
      <c r="N526" s="256"/>
      <c r="O526" s="256"/>
      <c r="P526" s="256"/>
      <c r="Q526" s="256"/>
      <c r="R526" s="256"/>
      <c r="S526" s="256"/>
      <c r="T526" s="257">
        <v>-24478228</v>
      </c>
      <c r="U526" s="254" t="s">
        <v>277</v>
      </c>
      <c r="V526" s="256"/>
      <c r="W526" s="256"/>
      <c r="X526" s="256"/>
      <c r="Y526" s="256"/>
      <c r="Z526" s="256"/>
      <c r="AA526" s="256"/>
      <c r="AB526" s="256"/>
      <c r="AC526" s="254" t="s">
        <v>278</v>
      </c>
      <c r="AD526" s="256"/>
      <c r="AE526" s="256"/>
      <c r="AF526" s="256">
        <v>20250731</v>
      </c>
      <c r="AG526" s="256"/>
      <c r="AH526" s="256"/>
      <c r="AI526" s="256">
        <v>20250731</v>
      </c>
      <c r="AJ526" s="254">
        <v>8000887022</v>
      </c>
      <c r="AK526" s="254"/>
      <c r="AL526" s="256"/>
      <c r="AM526" s="254" t="s">
        <v>292</v>
      </c>
      <c r="AO526" s="234" t="s">
        <v>108</v>
      </c>
      <c r="AP526" s="232">
        <f t="shared" si="19"/>
        <v>24478228</v>
      </c>
      <c r="AQ526" s="230">
        <f t="shared" si="20"/>
        <v>7</v>
      </c>
    </row>
    <row r="527" spans="1:43">
      <c r="A527" s="254">
        <v>1</v>
      </c>
      <c r="B527" s="254" t="s">
        <v>273</v>
      </c>
      <c r="C527" s="254" t="s">
        <v>280</v>
      </c>
      <c r="D527" s="255">
        <v>45869</v>
      </c>
      <c r="E527" s="255">
        <v>45869</v>
      </c>
      <c r="F527" s="254" t="s">
        <v>281</v>
      </c>
      <c r="G527" s="254" t="s">
        <v>275</v>
      </c>
      <c r="H527" s="254"/>
      <c r="I527" s="254">
        <v>131</v>
      </c>
      <c r="J527" s="254" t="s">
        <v>276</v>
      </c>
      <c r="K527" s="254">
        <v>1533010002</v>
      </c>
      <c r="L527" s="256"/>
      <c r="M527" s="256"/>
      <c r="N527" s="256"/>
      <c r="O527" s="256"/>
      <c r="P527" s="256"/>
      <c r="Q527" s="256"/>
      <c r="R527" s="256"/>
      <c r="S527" s="256"/>
      <c r="T527" s="257">
        <v>-2288622</v>
      </c>
      <c r="U527" s="254" t="s">
        <v>277</v>
      </c>
      <c r="V527" s="256"/>
      <c r="W527" s="256"/>
      <c r="X527" s="256"/>
      <c r="Y527" s="256"/>
      <c r="Z527" s="256"/>
      <c r="AA527" s="256"/>
      <c r="AB527" s="256"/>
      <c r="AC527" s="254" t="s">
        <v>278</v>
      </c>
      <c r="AD527" s="256"/>
      <c r="AE527" s="256"/>
      <c r="AF527" s="256">
        <v>20250731</v>
      </c>
      <c r="AG527" s="256"/>
      <c r="AH527" s="256"/>
      <c r="AI527" s="256">
        <v>20250731</v>
      </c>
      <c r="AJ527" s="254">
        <v>8001309074</v>
      </c>
      <c r="AK527" s="254"/>
      <c r="AL527" s="256"/>
      <c r="AM527" s="254" t="s">
        <v>305</v>
      </c>
      <c r="AO527" s="234">
        <v>0</v>
      </c>
      <c r="AP527" s="232">
        <f t="shared" si="19"/>
        <v>2288622</v>
      </c>
      <c r="AQ527" s="230">
        <f t="shared" si="20"/>
        <v>7</v>
      </c>
    </row>
    <row r="528" spans="1:43">
      <c r="A528" s="254">
        <v>1</v>
      </c>
      <c r="B528" s="254" t="s">
        <v>273</v>
      </c>
      <c r="C528" s="254" t="s">
        <v>280</v>
      </c>
      <c r="D528" s="255">
        <v>45869</v>
      </c>
      <c r="E528" s="255">
        <v>45869</v>
      </c>
      <c r="F528" s="254" t="s">
        <v>281</v>
      </c>
      <c r="G528" s="254" t="s">
        <v>275</v>
      </c>
      <c r="H528" s="254"/>
      <c r="I528" s="254">
        <v>132</v>
      </c>
      <c r="J528" s="254" t="s">
        <v>276</v>
      </c>
      <c r="K528" s="254">
        <v>1533010002</v>
      </c>
      <c r="L528" s="256"/>
      <c r="M528" s="256"/>
      <c r="N528" s="256"/>
      <c r="O528" s="256"/>
      <c r="P528" s="256"/>
      <c r="Q528" s="256"/>
      <c r="R528" s="256"/>
      <c r="S528" s="256"/>
      <c r="T528" s="257">
        <v>-7151382</v>
      </c>
      <c r="U528" s="254" t="s">
        <v>277</v>
      </c>
      <c r="V528" s="256"/>
      <c r="W528" s="256"/>
      <c r="X528" s="256"/>
      <c r="Y528" s="256"/>
      <c r="Z528" s="256"/>
      <c r="AA528" s="256"/>
      <c r="AB528" s="256"/>
      <c r="AC528" s="254" t="s">
        <v>278</v>
      </c>
      <c r="AD528" s="256"/>
      <c r="AE528" s="256"/>
      <c r="AF528" s="256">
        <v>20250731</v>
      </c>
      <c r="AG528" s="256"/>
      <c r="AH528" s="256"/>
      <c r="AI528" s="256">
        <v>20250731</v>
      </c>
      <c r="AJ528" s="254">
        <v>8002514406</v>
      </c>
      <c r="AK528" s="254"/>
      <c r="AL528" s="256"/>
      <c r="AM528" s="254" t="s">
        <v>283</v>
      </c>
      <c r="AO528" s="234" t="s">
        <v>115</v>
      </c>
      <c r="AP528" s="232">
        <f t="shared" si="19"/>
        <v>7151382</v>
      </c>
      <c r="AQ528" s="230">
        <f t="shared" si="20"/>
        <v>7</v>
      </c>
    </row>
    <row r="529" spans="1:43">
      <c r="A529" s="254">
        <v>1</v>
      </c>
      <c r="B529" s="254" t="s">
        <v>273</v>
      </c>
      <c r="C529" s="254" t="s">
        <v>280</v>
      </c>
      <c r="D529" s="255">
        <v>45869</v>
      </c>
      <c r="E529" s="255">
        <v>45869</v>
      </c>
      <c r="F529" s="254" t="s">
        <v>281</v>
      </c>
      <c r="G529" s="254" t="s">
        <v>275</v>
      </c>
      <c r="H529" s="254"/>
      <c r="I529" s="254">
        <v>133</v>
      </c>
      <c r="J529" s="254" t="s">
        <v>276</v>
      </c>
      <c r="K529" s="254">
        <v>1533010002</v>
      </c>
      <c r="L529" s="256"/>
      <c r="M529" s="256"/>
      <c r="N529" s="256"/>
      <c r="O529" s="256"/>
      <c r="P529" s="256"/>
      <c r="Q529" s="256"/>
      <c r="R529" s="256"/>
      <c r="S529" s="256"/>
      <c r="T529" s="257">
        <v>-10253452</v>
      </c>
      <c r="U529" s="254" t="s">
        <v>277</v>
      </c>
      <c r="V529" s="256"/>
      <c r="W529" s="256"/>
      <c r="X529" s="256"/>
      <c r="Y529" s="256"/>
      <c r="Z529" s="256"/>
      <c r="AA529" s="256"/>
      <c r="AB529" s="256"/>
      <c r="AC529" s="254" t="s">
        <v>278</v>
      </c>
      <c r="AD529" s="256"/>
      <c r="AE529" s="256"/>
      <c r="AF529" s="256">
        <v>20250731</v>
      </c>
      <c r="AG529" s="256"/>
      <c r="AH529" s="256"/>
      <c r="AI529" s="256">
        <v>20250731</v>
      </c>
      <c r="AJ529" s="254">
        <v>8001309074</v>
      </c>
      <c r="AK529" s="254"/>
      <c r="AL529" s="256"/>
      <c r="AM529" s="254" t="s">
        <v>305</v>
      </c>
      <c r="AO529" s="234">
        <v>0</v>
      </c>
      <c r="AP529" s="232">
        <f t="shared" si="19"/>
        <v>10253452</v>
      </c>
      <c r="AQ529" s="230">
        <f t="shared" si="20"/>
        <v>7</v>
      </c>
    </row>
    <row r="530" spans="1:43">
      <c r="A530" s="254">
        <v>1</v>
      </c>
      <c r="B530" s="254" t="s">
        <v>273</v>
      </c>
      <c r="C530" s="254" t="s">
        <v>280</v>
      </c>
      <c r="D530" s="255">
        <v>45869</v>
      </c>
      <c r="E530" s="255">
        <v>45869</v>
      </c>
      <c r="F530" s="254" t="s">
        <v>281</v>
      </c>
      <c r="G530" s="254" t="s">
        <v>275</v>
      </c>
      <c r="H530" s="254"/>
      <c r="I530" s="254">
        <v>134</v>
      </c>
      <c r="J530" s="254" t="s">
        <v>276</v>
      </c>
      <c r="K530" s="254">
        <v>1533010002</v>
      </c>
      <c r="L530" s="256"/>
      <c r="M530" s="256"/>
      <c r="N530" s="256"/>
      <c r="O530" s="256"/>
      <c r="P530" s="256"/>
      <c r="Q530" s="256"/>
      <c r="R530" s="256"/>
      <c r="S530" s="256"/>
      <c r="T530" s="257">
        <v>-595704</v>
      </c>
      <c r="U530" s="254" t="s">
        <v>277</v>
      </c>
      <c r="V530" s="256"/>
      <c r="W530" s="256"/>
      <c r="X530" s="256"/>
      <c r="Y530" s="256"/>
      <c r="Z530" s="256"/>
      <c r="AA530" s="256"/>
      <c r="AB530" s="256"/>
      <c r="AC530" s="254" t="s">
        <v>278</v>
      </c>
      <c r="AD530" s="256"/>
      <c r="AE530" s="256"/>
      <c r="AF530" s="256">
        <v>20250731</v>
      </c>
      <c r="AG530" s="256"/>
      <c r="AH530" s="256"/>
      <c r="AI530" s="256">
        <v>20250731</v>
      </c>
      <c r="AJ530" s="254">
        <v>8600021839</v>
      </c>
      <c r="AK530" s="254"/>
      <c r="AL530" s="256"/>
      <c r="AM530" s="254" t="s">
        <v>288</v>
      </c>
      <c r="AO530" s="234">
        <v>0</v>
      </c>
      <c r="AP530" s="232">
        <f t="shared" si="19"/>
        <v>595704</v>
      </c>
      <c r="AQ530" s="230">
        <f t="shared" si="20"/>
        <v>7</v>
      </c>
    </row>
    <row r="531" spans="1:43">
      <c r="A531" s="254">
        <v>1</v>
      </c>
      <c r="B531" s="254" t="s">
        <v>273</v>
      </c>
      <c r="C531" s="254" t="s">
        <v>280</v>
      </c>
      <c r="D531" s="255">
        <v>45869</v>
      </c>
      <c r="E531" s="255">
        <v>45869</v>
      </c>
      <c r="F531" s="254" t="s">
        <v>281</v>
      </c>
      <c r="G531" s="254" t="s">
        <v>275</v>
      </c>
      <c r="H531" s="254"/>
      <c r="I531" s="254">
        <v>135</v>
      </c>
      <c r="J531" s="254" t="s">
        <v>276</v>
      </c>
      <c r="K531" s="254">
        <v>1533010002</v>
      </c>
      <c r="L531" s="256"/>
      <c r="M531" s="256"/>
      <c r="N531" s="256"/>
      <c r="O531" s="256"/>
      <c r="P531" s="256"/>
      <c r="Q531" s="256"/>
      <c r="R531" s="256"/>
      <c r="S531" s="256"/>
      <c r="T531" s="257">
        <v>-7510122</v>
      </c>
      <c r="U531" s="254" t="s">
        <v>277</v>
      </c>
      <c r="V531" s="256"/>
      <c r="W531" s="256"/>
      <c r="X531" s="256"/>
      <c r="Y531" s="256"/>
      <c r="Z531" s="256"/>
      <c r="AA531" s="256"/>
      <c r="AB531" s="256"/>
      <c r="AC531" s="254" t="s">
        <v>278</v>
      </c>
      <c r="AD531" s="256"/>
      <c r="AE531" s="256"/>
      <c r="AF531" s="256">
        <v>20250731</v>
      </c>
      <c r="AG531" s="256"/>
      <c r="AH531" s="256"/>
      <c r="AI531" s="256">
        <v>20250731</v>
      </c>
      <c r="AJ531" s="254">
        <v>8050011572</v>
      </c>
      <c r="AK531" s="254"/>
      <c r="AL531" s="256"/>
      <c r="AM531" s="254" t="s">
        <v>284</v>
      </c>
      <c r="AO531" s="234">
        <v>0</v>
      </c>
      <c r="AP531" s="232">
        <f t="shared" si="19"/>
        <v>7510122</v>
      </c>
      <c r="AQ531" s="230">
        <f t="shared" si="20"/>
        <v>7</v>
      </c>
    </row>
    <row r="532" spans="1:43">
      <c r="A532" s="254">
        <v>1</v>
      </c>
      <c r="B532" s="254" t="s">
        <v>273</v>
      </c>
      <c r="C532" s="254" t="s">
        <v>280</v>
      </c>
      <c r="D532" s="255">
        <v>45869</v>
      </c>
      <c r="E532" s="255">
        <v>45869</v>
      </c>
      <c r="F532" s="254" t="s">
        <v>281</v>
      </c>
      <c r="G532" s="254" t="s">
        <v>275</v>
      </c>
      <c r="H532" s="254"/>
      <c r="I532" s="254">
        <v>136</v>
      </c>
      <c r="J532" s="254" t="s">
        <v>276</v>
      </c>
      <c r="K532" s="254">
        <v>1533010002</v>
      </c>
      <c r="L532" s="256"/>
      <c r="M532" s="256"/>
      <c r="N532" s="256"/>
      <c r="O532" s="256"/>
      <c r="P532" s="256"/>
      <c r="Q532" s="256"/>
      <c r="R532" s="256"/>
      <c r="S532" s="256"/>
      <c r="T532" s="257">
        <v>-179407</v>
      </c>
      <c r="U532" s="254" t="s">
        <v>277</v>
      </c>
      <c r="V532" s="256"/>
      <c r="W532" s="256"/>
      <c r="X532" s="256"/>
      <c r="Y532" s="256"/>
      <c r="Z532" s="256"/>
      <c r="AA532" s="256"/>
      <c r="AB532" s="256"/>
      <c r="AC532" s="254" t="s">
        <v>278</v>
      </c>
      <c r="AD532" s="256"/>
      <c r="AE532" s="256"/>
      <c r="AF532" s="256">
        <v>20250731</v>
      </c>
      <c r="AG532" s="256"/>
      <c r="AH532" s="256"/>
      <c r="AI532" s="256">
        <v>20250731</v>
      </c>
      <c r="AJ532" s="254">
        <v>8301138310</v>
      </c>
      <c r="AK532" s="254"/>
      <c r="AL532" s="256"/>
      <c r="AM532" s="254" t="s">
        <v>287</v>
      </c>
      <c r="AO532" s="234">
        <v>0</v>
      </c>
      <c r="AP532" s="232">
        <f t="shared" si="19"/>
        <v>179407</v>
      </c>
      <c r="AQ532" s="230">
        <f t="shared" si="20"/>
        <v>7</v>
      </c>
    </row>
    <row r="533" spans="1:43">
      <c r="A533" s="254">
        <v>1</v>
      </c>
      <c r="B533" s="254" t="s">
        <v>273</v>
      </c>
      <c r="C533" s="254" t="s">
        <v>280</v>
      </c>
      <c r="D533" s="255">
        <v>45869</v>
      </c>
      <c r="E533" s="255">
        <v>45869</v>
      </c>
      <c r="F533" s="254" t="s">
        <v>281</v>
      </c>
      <c r="G533" s="254" t="s">
        <v>275</v>
      </c>
      <c r="H533" s="254"/>
      <c r="I533" s="254">
        <v>137</v>
      </c>
      <c r="J533" s="254" t="s">
        <v>276</v>
      </c>
      <c r="K533" s="254">
        <v>1533010002</v>
      </c>
      <c r="L533" s="256"/>
      <c r="M533" s="256"/>
      <c r="N533" s="256"/>
      <c r="O533" s="256"/>
      <c r="P533" s="256"/>
      <c r="Q533" s="256"/>
      <c r="R533" s="256"/>
      <c r="S533" s="256"/>
      <c r="T533" s="257">
        <v>-125966</v>
      </c>
      <c r="U533" s="254" t="s">
        <v>277</v>
      </c>
      <c r="V533" s="256"/>
      <c r="W533" s="256"/>
      <c r="X533" s="256"/>
      <c r="Y533" s="256"/>
      <c r="Z533" s="256"/>
      <c r="AA533" s="256"/>
      <c r="AB533" s="256"/>
      <c r="AC533" s="254" t="s">
        <v>278</v>
      </c>
      <c r="AD533" s="256"/>
      <c r="AE533" s="256"/>
      <c r="AF533" s="256">
        <v>20250731</v>
      </c>
      <c r="AG533" s="256"/>
      <c r="AH533" s="256"/>
      <c r="AI533" s="256">
        <v>20250731</v>
      </c>
      <c r="AJ533" s="254">
        <v>8600669427</v>
      </c>
      <c r="AK533" s="254"/>
      <c r="AL533" s="256"/>
      <c r="AM533" s="254" t="s">
        <v>289</v>
      </c>
      <c r="AO533" s="234" t="s">
        <v>101</v>
      </c>
      <c r="AP533" s="232">
        <f t="shared" si="19"/>
        <v>125966</v>
      </c>
      <c r="AQ533" s="230">
        <f t="shared" si="20"/>
        <v>7</v>
      </c>
    </row>
    <row r="534" spans="1:43">
      <c r="A534" s="254">
        <v>1</v>
      </c>
      <c r="B534" s="254" t="s">
        <v>273</v>
      </c>
      <c r="C534" s="254" t="s">
        <v>280</v>
      </c>
      <c r="D534" s="255">
        <v>45869</v>
      </c>
      <c r="E534" s="255">
        <v>45869</v>
      </c>
      <c r="F534" s="254" t="s">
        <v>281</v>
      </c>
      <c r="G534" s="254" t="s">
        <v>275</v>
      </c>
      <c r="H534" s="254"/>
      <c r="I534" s="254">
        <v>138</v>
      </c>
      <c r="J534" s="254" t="s">
        <v>276</v>
      </c>
      <c r="K534" s="254">
        <v>1533010002</v>
      </c>
      <c r="L534" s="256"/>
      <c r="M534" s="256"/>
      <c r="N534" s="256"/>
      <c r="O534" s="256"/>
      <c r="P534" s="256"/>
      <c r="Q534" s="256"/>
      <c r="R534" s="256"/>
      <c r="S534" s="256"/>
      <c r="T534" s="257">
        <v>-47450</v>
      </c>
      <c r="U534" s="254" t="s">
        <v>277</v>
      </c>
      <c r="V534" s="256"/>
      <c r="W534" s="256"/>
      <c r="X534" s="256"/>
      <c r="Y534" s="256"/>
      <c r="Z534" s="256"/>
      <c r="AA534" s="256"/>
      <c r="AB534" s="256"/>
      <c r="AC534" s="254" t="s">
        <v>278</v>
      </c>
      <c r="AD534" s="256"/>
      <c r="AE534" s="256"/>
      <c r="AF534" s="256">
        <v>20250731</v>
      </c>
      <c r="AG534" s="256"/>
      <c r="AH534" s="256"/>
      <c r="AI534" s="256">
        <v>20250731</v>
      </c>
      <c r="AJ534" s="254">
        <v>8060083947</v>
      </c>
      <c r="AK534" s="254"/>
      <c r="AL534" s="256"/>
      <c r="AM534" s="254" t="s">
        <v>293</v>
      </c>
      <c r="AO534" s="234">
        <v>0</v>
      </c>
      <c r="AP534" s="232">
        <f t="shared" si="19"/>
        <v>47450</v>
      </c>
      <c r="AQ534" s="230">
        <f t="shared" si="20"/>
        <v>7</v>
      </c>
    </row>
    <row r="535" spans="1:43">
      <c r="A535" s="254">
        <v>1</v>
      </c>
      <c r="B535" s="254" t="s">
        <v>273</v>
      </c>
      <c r="C535" s="254" t="s">
        <v>280</v>
      </c>
      <c r="D535" s="255">
        <v>45869</v>
      </c>
      <c r="E535" s="255">
        <v>45869</v>
      </c>
      <c r="F535" s="254" t="s">
        <v>281</v>
      </c>
      <c r="G535" s="254" t="s">
        <v>275</v>
      </c>
      <c r="H535" s="254"/>
      <c r="I535" s="254">
        <v>139</v>
      </c>
      <c r="J535" s="254" t="s">
        <v>276</v>
      </c>
      <c r="K535" s="254">
        <v>1533010002</v>
      </c>
      <c r="L535" s="256"/>
      <c r="M535" s="256"/>
      <c r="N535" s="256"/>
      <c r="O535" s="256"/>
      <c r="P535" s="256"/>
      <c r="Q535" s="256"/>
      <c r="R535" s="256"/>
      <c r="S535" s="256"/>
      <c r="T535" s="257">
        <v>-538089</v>
      </c>
      <c r="U535" s="254" t="s">
        <v>277</v>
      </c>
      <c r="V535" s="256"/>
      <c r="W535" s="256"/>
      <c r="X535" s="256"/>
      <c r="Y535" s="256"/>
      <c r="Z535" s="256"/>
      <c r="AA535" s="256"/>
      <c r="AB535" s="256"/>
      <c r="AC535" s="254" t="s">
        <v>278</v>
      </c>
      <c r="AD535" s="256"/>
      <c r="AE535" s="256"/>
      <c r="AF535" s="256">
        <v>20250731</v>
      </c>
      <c r="AG535" s="256"/>
      <c r="AH535" s="256"/>
      <c r="AI535" s="256">
        <v>20250731</v>
      </c>
      <c r="AJ535" s="254">
        <v>8002514406</v>
      </c>
      <c r="AK535" s="254"/>
      <c r="AL535" s="256"/>
      <c r="AM535" s="254" t="s">
        <v>283</v>
      </c>
      <c r="AO535" s="234" t="s">
        <v>115</v>
      </c>
      <c r="AP535" s="232">
        <f t="shared" si="19"/>
        <v>538089</v>
      </c>
      <c r="AQ535" s="230">
        <f t="shared" si="20"/>
        <v>7</v>
      </c>
    </row>
    <row r="536" spans="1:43">
      <c r="A536" s="254">
        <v>1</v>
      </c>
      <c r="B536" s="254" t="s">
        <v>273</v>
      </c>
      <c r="C536" s="254" t="s">
        <v>280</v>
      </c>
      <c r="D536" s="255">
        <v>45869</v>
      </c>
      <c r="E536" s="255">
        <v>45869</v>
      </c>
      <c r="F536" s="254" t="s">
        <v>281</v>
      </c>
      <c r="G536" s="254" t="s">
        <v>275</v>
      </c>
      <c r="H536" s="254"/>
      <c r="I536" s="254">
        <v>140</v>
      </c>
      <c r="J536" s="254" t="s">
        <v>276</v>
      </c>
      <c r="K536" s="254">
        <v>1533010002</v>
      </c>
      <c r="L536" s="256"/>
      <c r="M536" s="256"/>
      <c r="N536" s="256"/>
      <c r="O536" s="256"/>
      <c r="P536" s="256"/>
      <c r="Q536" s="256"/>
      <c r="R536" s="256"/>
      <c r="S536" s="256"/>
      <c r="T536" s="257">
        <v>-4974735</v>
      </c>
      <c r="U536" s="254" t="s">
        <v>277</v>
      </c>
      <c r="V536" s="256"/>
      <c r="W536" s="256"/>
      <c r="X536" s="256"/>
      <c r="Y536" s="256"/>
      <c r="Z536" s="256"/>
      <c r="AA536" s="256"/>
      <c r="AB536" s="256"/>
      <c r="AC536" s="254" t="s">
        <v>278</v>
      </c>
      <c r="AD536" s="256"/>
      <c r="AE536" s="256"/>
      <c r="AF536" s="256">
        <v>20250731</v>
      </c>
      <c r="AG536" s="256"/>
      <c r="AH536" s="256"/>
      <c r="AI536" s="256">
        <v>20250731</v>
      </c>
      <c r="AJ536" s="254">
        <v>8600669427</v>
      </c>
      <c r="AK536" s="254"/>
      <c r="AL536" s="256"/>
      <c r="AM536" s="254" t="s">
        <v>289</v>
      </c>
      <c r="AO536" s="234" t="s">
        <v>101</v>
      </c>
      <c r="AP536" s="232">
        <f t="shared" ref="AP536:AP547" si="21">+ABS(T536)</f>
        <v>4974735</v>
      </c>
      <c r="AQ536" s="230">
        <f t="shared" si="20"/>
        <v>7</v>
      </c>
    </row>
    <row r="537" spans="1:43">
      <c r="A537" s="254">
        <v>1</v>
      </c>
      <c r="B537" s="254" t="s">
        <v>273</v>
      </c>
      <c r="C537" s="254" t="s">
        <v>280</v>
      </c>
      <c r="D537" s="255">
        <v>45869</v>
      </c>
      <c r="E537" s="255">
        <v>45869</v>
      </c>
      <c r="F537" s="254" t="s">
        <v>281</v>
      </c>
      <c r="G537" s="254" t="s">
        <v>275</v>
      </c>
      <c r="H537" s="254"/>
      <c r="I537" s="254">
        <v>141</v>
      </c>
      <c r="J537" s="254" t="s">
        <v>276</v>
      </c>
      <c r="K537" s="254">
        <v>1533010002</v>
      </c>
      <c r="L537" s="256"/>
      <c r="M537" s="256"/>
      <c r="N537" s="256"/>
      <c r="O537" s="256"/>
      <c r="P537" s="256"/>
      <c r="Q537" s="256"/>
      <c r="R537" s="256"/>
      <c r="S537" s="256"/>
      <c r="T537" s="257">
        <v>-237250</v>
      </c>
      <c r="U537" s="254" t="s">
        <v>277</v>
      </c>
      <c r="V537" s="256"/>
      <c r="W537" s="256"/>
      <c r="X537" s="256"/>
      <c r="Y537" s="256"/>
      <c r="Z537" s="256"/>
      <c r="AA537" s="256"/>
      <c r="AB537" s="256"/>
      <c r="AC537" s="254" t="s">
        <v>278</v>
      </c>
      <c r="AD537" s="256"/>
      <c r="AE537" s="256"/>
      <c r="AF537" s="256">
        <v>20250731</v>
      </c>
      <c r="AG537" s="256"/>
      <c r="AH537" s="256"/>
      <c r="AI537" s="256">
        <v>20250731</v>
      </c>
      <c r="AJ537" s="254">
        <v>8002514406</v>
      </c>
      <c r="AK537" s="254"/>
      <c r="AL537" s="256"/>
      <c r="AM537" s="254" t="s">
        <v>283</v>
      </c>
      <c r="AO537" s="234" t="s">
        <v>115</v>
      </c>
      <c r="AP537" s="232">
        <f t="shared" si="21"/>
        <v>237250</v>
      </c>
      <c r="AQ537" s="230">
        <f t="shared" si="20"/>
        <v>7</v>
      </c>
    </row>
    <row r="538" spans="1:43">
      <c r="A538" s="254">
        <v>1</v>
      </c>
      <c r="B538" s="254" t="s">
        <v>273</v>
      </c>
      <c r="C538" s="254" t="s">
        <v>280</v>
      </c>
      <c r="D538" s="255">
        <v>45869</v>
      </c>
      <c r="E538" s="255">
        <v>45869</v>
      </c>
      <c r="F538" s="254" t="s">
        <v>281</v>
      </c>
      <c r="G538" s="254" t="s">
        <v>275</v>
      </c>
      <c r="H538" s="254"/>
      <c r="I538" s="254">
        <v>142</v>
      </c>
      <c r="J538" s="254" t="s">
        <v>276</v>
      </c>
      <c r="K538" s="254">
        <v>1533010002</v>
      </c>
      <c r="L538" s="256"/>
      <c r="M538" s="256"/>
      <c r="N538" s="256"/>
      <c r="O538" s="256"/>
      <c r="P538" s="256"/>
      <c r="Q538" s="256"/>
      <c r="R538" s="256"/>
      <c r="S538" s="256"/>
      <c r="T538" s="257">
        <v>-47450</v>
      </c>
      <c r="U538" s="254" t="s">
        <v>277</v>
      </c>
      <c r="V538" s="256"/>
      <c r="W538" s="256"/>
      <c r="X538" s="256"/>
      <c r="Y538" s="256"/>
      <c r="Z538" s="256"/>
      <c r="AA538" s="256"/>
      <c r="AB538" s="256"/>
      <c r="AC538" s="254" t="s">
        <v>278</v>
      </c>
      <c r="AD538" s="256"/>
      <c r="AE538" s="256"/>
      <c r="AF538" s="256">
        <v>20250731</v>
      </c>
      <c r="AG538" s="256"/>
      <c r="AH538" s="256"/>
      <c r="AI538" s="256">
        <v>20250731</v>
      </c>
      <c r="AJ538" s="254">
        <v>8301138310</v>
      </c>
      <c r="AK538" s="254"/>
      <c r="AL538" s="256"/>
      <c r="AM538" s="254" t="s">
        <v>287</v>
      </c>
      <c r="AO538" s="234">
        <v>0</v>
      </c>
      <c r="AP538" s="232">
        <f t="shared" si="21"/>
        <v>47450</v>
      </c>
      <c r="AQ538" s="230">
        <f t="shared" si="20"/>
        <v>7</v>
      </c>
    </row>
    <row r="539" spans="1:43">
      <c r="A539" s="254">
        <v>1</v>
      </c>
      <c r="B539" s="254" t="s">
        <v>273</v>
      </c>
      <c r="C539" s="254" t="s">
        <v>280</v>
      </c>
      <c r="D539" s="255">
        <v>45869</v>
      </c>
      <c r="E539" s="255">
        <v>45869</v>
      </c>
      <c r="F539" s="254" t="s">
        <v>281</v>
      </c>
      <c r="G539" s="254" t="s">
        <v>275</v>
      </c>
      <c r="H539" s="254"/>
      <c r="I539" s="254">
        <v>143</v>
      </c>
      <c r="J539" s="254" t="s">
        <v>276</v>
      </c>
      <c r="K539" s="254">
        <v>1533010002</v>
      </c>
      <c r="L539" s="256"/>
      <c r="M539" s="256"/>
      <c r="N539" s="256"/>
      <c r="O539" s="256"/>
      <c r="P539" s="256"/>
      <c r="Q539" s="256"/>
      <c r="R539" s="256"/>
      <c r="S539" s="256"/>
      <c r="T539" s="257">
        <v>-2354625</v>
      </c>
      <c r="U539" s="254" t="s">
        <v>277</v>
      </c>
      <c r="V539" s="256"/>
      <c r="W539" s="256"/>
      <c r="X539" s="256"/>
      <c r="Y539" s="256"/>
      <c r="Z539" s="256"/>
      <c r="AA539" s="256"/>
      <c r="AB539" s="256"/>
      <c r="AC539" s="254" t="s">
        <v>278</v>
      </c>
      <c r="AD539" s="256"/>
      <c r="AE539" s="256"/>
      <c r="AF539" s="256">
        <v>20250731</v>
      </c>
      <c r="AG539" s="256"/>
      <c r="AH539" s="256"/>
      <c r="AI539" s="256">
        <v>20250731</v>
      </c>
      <c r="AJ539" s="254">
        <v>8600021839</v>
      </c>
      <c r="AK539" s="254"/>
      <c r="AL539" s="256"/>
      <c r="AM539" s="254" t="s">
        <v>288</v>
      </c>
      <c r="AO539" s="234">
        <v>0</v>
      </c>
      <c r="AP539" s="232">
        <f t="shared" si="21"/>
        <v>2354625</v>
      </c>
      <c r="AQ539" s="230">
        <f t="shared" si="20"/>
        <v>7</v>
      </c>
    </row>
    <row r="540" spans="1:43">
      <c r="A540" s="254">
        <v>1</v>
      </c>
      <c r="B540" s="254" t="s">
        <v>273</v>
      </c>
      <c r="C540" s="254" t="s">
        <v>280</v>
      </c>
      <c r="D540" s="255">
        <v>45869</v>
      </c>
      <c r="E540" s="255">
        <v>45869</v>
      </c>
      <c r="F540" s="254" t="s">
        <v>281</v>
      </c>
      <c r="G540" s="254" t="s">
        <v>275</v>
      </c>
      <c r="H540" s="254"/>
      <c r="I540" s="254">
        <v>144</v>
      </c>
      <c r="J540" s="254" t="s">
        <v>276</v>
      </c>
      <c r="K540" s="254">
        <v>1533010002</v>
      </c>
      <c r="L540" s="256"/>
      <c r="M540" s="256"/>
      <c r="N540" s="256"/>
      <c r="O540" s="256"/>
      <c r="P540" s="256"/>
      <c r="Q540" s="256"/>
      <c r="R540" s="256"/>
      <c r="S540" s="256"/>
      <c r="T540" s="257">
        <v>-3070661</v>
      </c>
      <c r="U540" s="254" t="s">
        <v>277</v>
      </c>
      <c r="V540" s="256"/>
      <c r="W540" s="256"/>
      <c r="X540" s="256"/>
      <c r="Y540" s="256"/>
      <c r="Z540" s="256"/>
      <c r="AA540" s="256"/>
      <c r="AB540" s="256"/>
      <c r="AC540" s="254" t="s">
        <v>278</v>
      </c>
      <c r="AD540" s="256"/>
      <c r="AE540" s="256"/>
      <c r="AF540" s="256">
        <v>20250731</v>
      </c>
      <c r="AG540" s="256"/>
      <c r="AH540" s="256"/>
      <c r="AI540" s="256">
        <v>20250731</v>
      </c>
      <c r="AJ540" s="254">
        <v>8300035647</v>
      </c>
      <c r="AK540" s="254"/>
      <c r="AL540" s="256"/>
      <c r="AM540" s="254" t="s">
        <v>286</v>
      </c>
      <c r="AO540" s="234" t="s">
        <v>109</v>
      </c>
      <c r="AP540" s="232">
        <f t="shared" si="21"/>
        <v>3070661</v>
      </c>
      <c r="AQ540" s="230">
        <f t="shared" si="20"/>
        <v>7</v>
      </c>
    </row>
    <row r="541" spans="1:43">
      <c r="A541" s="254">
        <v>1</v>
      </c>
      <c r="B541" s="254" t="s">
        <v>273</v>
      </c>
      <c r="C541" s="254" t="s">
        <v>280</v>
      </c>
      <c r="D541" s="255">
        <v>45869</v>
      </c>
      <c r="E541" s="255">
        <v>45869</v>
      </c>
      <c r="F541" s="254" t="s">
        <v>281</v>
      </c>
      <c r="G541" s="254" t="s">
        <v>275</v>
      </c>
      <c r="H541" s="254"/>
      <c r="I541" s="254">
        <v>145</v>
      </c>
      <c r="J541" s="254" t="s">
        <v>276</v>
      </c>
      <c r="K541" s="254">
        <v>1533010002</v>
      </c>
      <c r="L541" s="256"/>
      <c r="M541" s="256"/>
      <c r="N541" s="256"/>
      <c r="O541" s="256"/>
      <c r="P541" s="256"/>
      <c r="Q541" s="256"/>
      <c r="R541" s="256"/>
      <c r="S541" s="256"/>
      <c r="T541" s="257">
        <v>-38667</v>
      </c>
      <c r="U541" s="254" t="s">
        <v>277</v>
      </c>
      <c r="V541" s="256"/>
      <c r="W541" s="256"/>
      <c r="X541" s="256"/>
      <c r="Y541" s="256"/>
      <c r="Z541" s="256"/>
      <c r="AA541" s="256"/>
      <c r="AB541" s="256"/>
      <c r="AC541" s="254" t="s">
        <v>278</v>
      </c>
      <c r="AD541" s="256"/>
      <c r="AE541" s="256"/>
      <c r="AF541" s="256">
        <v>20250731</v>
      </c>
      <c r="AG541" s="256"/>
      <c r="AH541" s="256"/>
      <c r="AI541" s="256">
        <v>20250731</v>
      </c>
      <c r="AJ541" s="254">
        <v>8000887022</v>
      </c>
      <c r="AK541" s="254"/>
      <c r="AL541" s="256"/>
      <c r="AM541" s="254" t="s">
        <v>292</v>
      </c>
      <c r="AO541" s="234" t="s">
        <v>108</v>
      </c>
      <c r="AP541" s="232">
        <f t="shared" si="21"/>
        <v>38667</v>
      </c>
      <c r="AQ541" s="230">
        <f t="shared" si="20"/>
        <v>7</v>
      </c>
    </row>
    <row r="542" spans="1:43">
      <c r="A542" s="254">
        <v>1</v>
      </c>
      <c r="B542" s="254" t="s">
        <v>273</v>
      </c>
      <c r="C542" s="254" t="s">
        <v>280</v>
      </c>
      <c r="D542" s="255">
        <v>45869</v>
      </c>
      <c r="E542" s="255">
        <v>45869</v>
      </c>
      <c r="F542" s="254" t="s">
        <v>281</v>
      </c>
      <c r="G542" s="254" t="s">
        <v>275</v>
      </c>
      <c r="H542" s="254"/>
      <c r="I542" s="254">
        <v>146</v>
      </c>
      <c r="J542" s="254" t="s">
        <v>276</v>
      </c>
      <c r="K542" s="254">
        <v>1533010002</v>
      </c>
      <c r="L542" s="256"/>
      <c r="M542" s="256"/>
      <c r="N542" s="256"/>
      <c r="O542" s="256"/>
      <c r="P542" s="256"/>
      <c r="Q542" s="256"/>
      <c r="R542" s="256"/>
      <c r="S542" s="256"/>
      <c r="T542" s="257">
        <v>-2423611</v>
      </c>
      <c r="U542" s="254" t="s">
        <v>277</v>
      </c>
      <c r="V542" s="256"/>
      <c r="W542" s="256"/>
      <c r="X542" s="256"/>
      <c r="Y542" s="256"/>
      <c r="Z542" s="256"/>
      <c r="AA542" s="256"/>
      <c r="AB542" s="256"/>
      <c r="AC542" s="254" t="s">
        <v>278</v>
      </c>
      <c r="AD542" s="256"/>
      <c r="AE542" s="256"/>
      <c r="AF542" s="256">
        <v>20250731</v>
      </c>
      <c r="AG542" s="256"/>
      <c r="AH542" s="256"/>
      <c r="AI542" s="256">
        <v>20250731</v>
      </c>
      <c r="AJ542" s="254">
        <v>8002514406</v>
      </c>
      <c r="AK542" s="254"/>
      <c r="AL542" s="256"/>
      <c r="AM542" s="254" t="s">
        <v>283</v>
      </c>
      <c r="AO542" s="234" t="s">
        <v>115</v>
      </c>
      <c r="AP542" s="232">
        <f t="shared" si="21"/>
        <v>2423611</v>
      </c>
      <c r="AQ542" s="230">
        <f t="shared" si="20"/>
        <v>7</v>
      </c>
    </row>
    <row r="543" spans="1:43">
      <c r="A543" s="254">
        <v>1</v>
      </c>
      <c r="B543" s="254" t="s">
        <v>273</v>
      </c>
      <c r="C543" s="254" t="s">
        <v>280</v>
      </c>
      <c r="D543" s="255">
        <v>45869</v>
      </c>
      <c r="E543" s="255">
        <v>45869</v>
      </c>
      <c r="F543" s="254" t="s">
        <v>281</v>
      </c>
      <c r="G543" s="254" t="s">
        <v>275</v>
      </c>
      <c r="H543" s="254"/>
      <c r="I543" s="254">
        <v>147</v>
      </c>
      <c r="J543" s="254" t="s">
        <v>276</v>
      </c>
      <c r="K543" s="254">
        <v>1533010002</v>
      </c>
      <c r="L543" s="256"/>
      <c r="M543" s="256"/>
      <c r="N543" s="256"/>
      <c r="O543" s="256"/>
      <c r="P543" s="256"/>
      <c r="Q543" s="256"/>
      <c r="R543" s="256"/>
      <c r="S543" s="256"/>
      <c r="T543" s="257">
        <v>-1837627</v>
      </c>
      <c r="U543" s="254" t="s">
        <v>277</v>
      </c>
      <c r="V543" s="256"/>
      <c r="W543" s="256"/>
      <c r="X543" s="256"/>
      <c r="Y543" s="256"/>
      <c r="Z543" s="256"/>
      <c r="AA543" s="256"/>
      <c r="AB543" s="256"/>
      <c r="AC543" s="254" t="s">
        <v>278</v>
      </c>
      <c r="AD543" s="256"/>
      <c r="AE543" s="256"/>
      <c r="AF543" s="256">
        <v>20250731</v>
      </c>
      <c r="AG543" s="256"/>
      <c r="AH543" s="256"/>
      <c r="AI543" s="256">
        <v>20250731</v>
      </c>
      <c r="AJ543" s="254">
        <v>8600021839</v>
      </c>
      <c r="AK543" s="254"/>
      <c r="AL543" s="256"/>
      <c r="AM543" s="254" t="s">
        <v>288</v>
      </c>
      <c r="AO543" s="234">
        <v>0</v>
      </c>
      <c r="AP543" s="232">
        <f t="shared" si="21"/>
        <v>1837627</v>
      </c>
      <c r="AQ543" s="230">
        <f t="shared" si="20"/>
        <v>7</v>
      </c>
    </row>
    <row r="544" spans="1:43">
      <c r="A544" s="254">
        <v>1</v>
      </c>
      <c r="B544" s="254" t="s">
        <v>273</v>
      </c>
      <c r="C544" s="254" t="s">
        <v>280</v>
      </c>
      <c r="D544" s="255">
        <v>45869</v>
      </c>
      <c r="E544" s="255">
        <v>45869</v>
      </c>
      <c r="F544" s="254" t="s">
        <v>281</v>
      </c>
      <c r="G544" s="254" t="s">
        <v>275</v>
      </c>
      <c r="H544" s="254"/>
      <c r="I544" s="254">
        <v>148</v>
      </c>
      <c r="J544" s="254" t="s">
        <v>276</v>
      </c>
      <c r="K544" s="254">
        <v>1533010002</v>
      </c>
      <c r="L544" s="256"/>
      <c r="M544" s="256"/>
      <c r="N544" s="256"/>
      <c r="O544" s="256"/>
      <c r="P544" s="256"/>
      <c r="Q544" s="256"/>
      <c r="R544" s="256"/>
      <c r="S544" s="256"/>
      <c r="T544" s="257">
        <v>-10323157</v>
      </c>
      <c r="U544" s="254" t="s">
        <v>277</v>
      </c>
      <c r="V544" s="256"/>
      <c r="W544" s="256"/>
      <c r="X544" s="256"/>
      <c r="Y544" s="256"/>
      <c r="Z544" s="256"/>
      <c r="AA544" s="256"/>
      <c r="AB544" s="256"/>
      <c r="AC544" s="254" t="s">
        <v>278</v>
      </c>
      <c r="AD544" s="256"/>
      <c r="AE544" s="256"/>
      <c r="AF544" s="256">
        <v>20250731</v>
      </c>
      <c r="AG544" s="256"/>
      <c r="AH544" s="256"/>
      <c r="AI544" s="256">
        <v>20250731</v>
      </c>
      <c r="AJ544" s="254">
        <v>8002514406</v>
      </c>
      <c r="AK544" s="254"/>
      <c r="AL544" s="256"/>
      <c r="AM544" s="254" t="s">
        <v>283</v>
      </c>
      <c r="AO544" s="234" t="s">
        <v>115</v>
      </c>
      <c r="AP544" s="232">
        <f t="shared" si="21"/>
        <v>10323157</v>
      </c>
      <c r="AQ544" s="230">
        <f t="shared" si="20"/>
        <v>7</v>
      </c>
    </row>
    <row r="545" spans="1:43">
      <c r="A545" s="254">
        <v>1</v>
      </c>
      <c r="B545" s="254" t="s">
        <v>273</v>
      </c>
      <c r="C545" s="254" t="s">
        <v>280</v>
      </c>
      <c r="D545" s="255">
        <v>45869</v>
      </c>
      <c r="E545" s="255">
        <v>45869</v>
      </c>
      <c r="F545" s="254" t="s">
        <v>281</v>
      </c>
      <c r="G545" s="254" t="s">
        <v>275</v>
      </c>
      <c r="H545" s="254"/>
      <c r="I545" s="254">
        <v>149</v>
      </c>
      <c r="J545" s="254" t="s">
        <v>276</v>
      </c>
      <c r="K545" s="254">
        <v>1533010002</v>
      </c>
      <c r="L545" s="256"/>
      <c r="M545" s="256"/>
      <c r="N545" s="256"/>
      <c r="O545" s="256"/>
      <c r="P545" s="256"/>
      <c r="Q545" s="256"/>
      <c r="R545" s="256"/>
      <c r="S545" s="256"/>
      <c r="T545" s="257">
        <v>-154666</v>
      </c>
      <c r="U545" s="254" t="s">
        <v>277</v>
      </c>
      <c r="V545" s="256"/>
      <c r="W545" s="256"/>
      <c r="X545" s="256"/>
      <c r="Y545" s="256"/>
      <c r="Z545" s="256"/>
      <c r="AA545" s="256"/>
      <c r="AB545" s="256"/>
      <c r="AC545" s="254" t="s">
        <v>278</v>
      </c>
      <c r="AD545" s="256"/>
      <c r="AE545" s="256"/>
      <c r="AF545" s="256">
        <v>20250731</v>
      </c>
      <c r="AG545" s="256"/>
      <c r="AH545" s="256"/>
      <c r="AI545" s="256">
        <v>20250731</v>
      </c>
      <c r="AJ545" s="254">
        <v>8000887022</v>
      </c>
      <c r="AK545" s="254"/>
      <c r="AL545" s="256"/>
      <c r="AM545" s="254" t="s">
        <v>292</v>
      </c>
      <c r="AO545" s="234" t="s">
        <v>108</v>
      </c>
      <c r="AP545" s="232">
        <f t="shared" si="21"/>
        <v>154666</v>
      </c>
      <c r="AQ545" s="230">
        <f t="shared" si="20"/>
        <v>7</v>
      </c>
    </row>
    <row r="546" spans="1:43">
      <c r="A546" s="254">
        <v>1</v>
      </c>
      <c r="B546" s="254" t="s">
        <v>273</v>
      </c>
      <c r="C546" s="254" t="s">
        <v>280</v>
      </c>
      <c r="D546" s="255">
        <v>45869</v>
      </c>
      <c r="E546" s="255">
        <v>45869</v>
      </c>
      <c r="F546" s="254" t="s">
        <v>281</v>
      </c>
      <c r="G546" s="254" t="s">
        <v>275</v>
      </c>
      <c r="H546" s="254"/>
      <c r="I546" s="254">
        <v>150</v>
      </c>
      <c r="J546" s="254" t="s">
        <v>276</v>
      </c>
      <c r="K546" s="254">
        <v>1533010002</v>
      </c>
      <c r="L546" s="256"/>
      <c r="M546" s="256"/>
      <c r="N546" s="256"/>
      <c r="O546" s="256"/>
      <c r="P546" s="256"/>
      <c r="Q546" s="256"/>
      <c r="R546" s="256"/>
      <c r="S546" s="256"/>
      <c r="T546" s="257">
        <v>-2346934</v>
      </c>
      <c r="U546" s="254" t="s">
        <v>277</v>
      </c>
      <c r="V546" s="256"/>
      <c r="W546" s="256"/>
      <c r="X546" s="256"/>
      <c r="Y546" s="256"/>
      <c r="Z546" s="256"/>
      <c r="AA546" s="256"/>
      <c r="AB546" s="256"/>
      <c r="AC546" s="254" t="s">
        <v>278</v>
      </c>
      <c r="AD546" s="256"/>
      <c r="AE546" s="256"/>
      <c r="AF546" s="256">
        <v>20250731</v>
      </c>
      <c r="AG546" s="256"/>
      <c r="AH546" s="256"/>
      <c r="AI546" s="256">
        <v>20250731</v>
      </c>
      <c r="AJ546" s="254">
        <v>8600021839</v>
      </c>
      <c r="AK546" s="254"/>
      <c r="AL546" s="256"/>
      <c r="AM546" s="254" t="s">
        <v>288</v>
      </c>
      <c r="AO546" s="234">
        <v>0</v>
      </c>
      <c r="AP546" s="232">
        <f t="shared" si="21"/>
        <v>2346934</v>
      </c>
      <c r="AQ546" s="230">
        <f t="shared" si="20"/>
        <v>7</v>
      </c>
    </row>
    <row r="547" spans="1:43">
      <c r="A547" s="254">
        <v>1</v>
      </c>
      <c r="B547" s="254" t="s">
        <v>273</v>
      </c>
      <c r="C547" s="254" t="s">
        <v>280</v>
      </c>
      <c r="D547" s="255">
        <v>45869</v>
      </c>
      <c r="E547" s="255">
        <v>45869</v>
      </c>
      <c r="F547" s="254" t="s">
        <v>281</v>
      </c>
      <c r="G547" s="254" t="s">
        <v>275</v>
      </c>
      <c r="H547" s="254"/>
      <c r="I547" s="254">
        <v>152</v>
      </c>
      <c r="J547" s="254" t="s">
        <v>276</v>
      </c>
      <c r="K547" s="254">
        <v>1533010002</v>
      </c>
      <c r="L547" s="256"/>
      <c r="M547" s="256"/>
      <c r="N547" s="256"/>
      <c r="O547" s="256"/>
      <c r="P547" s="256"/>
      <c r="Q547" s="256"/>
      <c r="R547" s="256"/>
      <c r="S547" s="256"/>
      <c r="T547" s="257">
        <v>-2750056</v>
      </c>
      <c r="U547" s="254" t="s">
        <v>277</v>
      </c>
      <c r="V547" s="256"/>
      <c r="W547" s="256"/>
      <c r="X547" s="256"/>
      <c r="Y547" s="256"/>
      <c r="Z547" s="256"/>
      <c r="AA547" s="256"/>
      <c r="AB547" s="256"/>
      <c r="AC547" s="254" t="s">
        <v>278</v>
      </c>
      <c r="AD547" s="256"/>
      <c r="AE547" s="256"/>
      <c r="AF547" s="256">
        <v>20250731</v>
      </c>
      <c r="AG547" s="256"/>
      <c r="AH547" s="256"/>
      <c r="AI547" s="256">
        <v>20250731</v>
      </c>
      <c r="AJ547" s="254">
        <v>8903030935</v>
      </c>
      <c r="AK547" s="254"/>
      <c r="AL547" s="256"/>
      <c r="AM547" s="254" t="s">
        <v>320</v>
      </c>
      <c r="AO547" s="234">
        <v>0</v>
      </c>
      <c r="AP547" s="232">
        <f t="shared" si="21"/>
        <v>2750056</v>
      </c>
      <c r="AQ547" s="230">
        <f t="shared" si="20"/>
        <v>7</v>
      </c>
    </row>
    <row r="548" spans="1:43">
      <c r="A548" s="254">
        <v>1</v>
      </c>
      <c r="B548" s="254" t="s">
        <v>273</v>
      </c>
      <c r="C548" s="254" t="s">
        <v>280</v>
      </c>
      <c r="D548" s="255">
        <v>45869</v>
      </c>
      <c r="E548" s="255">
        <v>45869</v>
      </c>
      <c r="F548" s="254" t="s">
        <v>281</v>
      </c>
      <c r="G548" s="254" t="s">
        <v>275</v>
      </c>
      <c r="H548" s="254"/>
      <c r="I548" s="254">
        <v>101</v>
      </c>
      <c r="J548" s="254" t="s">
        <v>276</v>
      </c>
      <c r="K548" s="254">
        <v>1533010002</v>
      </c>
      <c r="L548" s="256"/>
      <c r="M548" s="256"/>
      <c r="N548" s="256"/>
      <c r="O548" s="256"/>
      <c r="P548" s="256"/>
      <c r="Q548" s="256"/>
      <c r="R548" s="256"/>
      <c r="S548" s="256"/>
      <c r="T548" s="258">
        <v>1747700</v>
      </c>
      <c r="U548" s="254" t="s">
        <v>277</v>
      </c>
      <c r="V548" s="256"/>
      <c r="W548" s="256"/>
      <c r="X548" s="256"/>
      <c r="Y548" s="256"/>
      <c r="Z548" s="256"/>
      <c r="AA548" s="256"/>
      <c r="AB548" s="256"/>
      <c r="AC548" s="254" t="s">
        <v>278</v>
      </c>
      <c r="AD548" s="256"/>
      <c r="AE548" s="256"/>
      <c r="AF548" s="256">
        <v>20250731</v>
      </c>
      <c r="AG548" s="256"/>
      <c r="AH548" s="256"/>
      <c r="AI548" s="256">
        <v>20250731</v>
      </c>
      <c r="AJ548" s="254">
        <v>8914800001</v>
      </c>
      <c r="AK548" s="254"/>
      <c r="AL548" s="256"/>
      <c r="AM548" s="254" t="s">
        <v>289</v>
      </c>
      <c r="AO548" s="234">
        <v>0</v>
      </c>
      <c r="AP548" s="232">
        <f t="shared" ref="AP548:AP611" si="22">+ABS(T548)</f>
        <v>1747700</v>
      </c>
      <c r="AQ548" s="230">
        <f t="shared" si="20"/>
        <v>7</v>
      </c>
    </row>
    <row r="549" spans="1:43">
      <c r="A549" s="254">
        <v>1</v>
      </c>
      <c r="B549" s="254" t="s">
        <v>273</v>
      </c>
      <c r="C549" s="254" t="s">
        <v>280</v>
      </c>
      <c r="D549" s="255">
        <v>45900</v>
      </c>
      <c r="E549" s="255">
        <v>45900</v>
      </c>
      <c r="F549" s="254" t="s">
        <v>281</v>
      </c>
      <c r="G549" s="254" t="s">
        <v>275</v>
      </c>
      <c r="H549" s="254"/>
      <c r="I549" s="254">
        <v>74</v>
      </c>
      <c r="J549" s="254" t="s">
        <v>276</v>
      </c>
      <c r="K549" s="254">
        <v>1533010002</v>
      </c>
      <c r="L549" s="256"/>
      <c r="M549" s="256"/>
      <c r="N549" s="256"/>
      <c r="O549" s="256"/>
      <c r="P549" s="256"/>
      <c r="Q549" s="256"/>
      <c r="R549" s="256"/>
      <c r="S549" s="256"/>
      <c r="T549" s="256">
        <v>-794982</v>
      </c>
      <c r="U549" s="254" t="s">
        <v>277</v>
      </c>
      <c r="V549" s="256"/>
      <c r="W549" s="256"/>
      <c r="X549" s="256"/>
      <c r="Y549" s="256"/>
      <c r="Z549" s="256"/>
      <c r="AA549" s="256"/>
      <c r="AB549" s="256"/>
      <c r="AC549" s="254" t="s">
        <v>278</v>
      </c>
      <c r="AD549" s="256"/>
      <c r="AE549" s="256"/>
      <c r="AF549" s="256">
        <v>20250831</v>
      </c>
      <c r="AG549" s="256"/>
      <c r="AH549" s="256"/>
      <c r="AI549" s="256">
        <v>20250831</v>
      </c>
      <c r="AJ549" s="256">
        <v>8301138310</v>
      </c>
      <c r="AK549" s="256"/>
      <c r="AL549" s="256"/>
      <c r="AM549" s="254" t="s">
        <v>287</v>
      </c>
      <c r="AO549" s="234">
        <v>0</v>
      </c>
      <c r="AP549" s="232">
        <f t="shared" si="22"/>
        <v>794982</v>
      </c>
      <c r="AQ549" s="230">
        <f t="shared" si="20"/>
        <v>8</v>
      </c>
    </row>
    <row r="550" spans="1:43">
      <c r="A550" s="254">
        <v>1</v>
      </c>
      <c r="B550" s="254" t="s">
        <v>273</v>
      </c>
      <c r="C550" s="254" t="s">
        <v>280</v>
      </c>
      <c r="D550" s="255">
        <v>45900</v>
      </c>
      <c r="E550" s="255">
        <v>45900</v>
      </c>
      <c r="F550" s="254" t="s">
        <v>281</v>
      </c>
      <c r="G550" s="254" t="s">
        <v>275</v>
      </c>
      <c r="H550" s="254"/>
      <c r="I550" s="254">
        <v>75</v>
      </c>
      <c r="J550" s="254" t="s">
        <v>276</v>
      </c>
      <c r="K550" s="254">
        <v>1533010002</v>
      </c>
      <c r="L550" s="256"/>
      <c r="M550" s="256"/>
      <c r="N550" s="256"/>
      <c r="O550" s="256"/>
      <c r="P550" s="256"/>
      <c r="Q550" s="256"/>
      <c r="R550" s="256"/>
      <c r="S550" s="256"/>
      <c r="T550" s="256">
        <v>-9831136</v>
      </c>
      <c r="U550" s="254" t="s">
        <v>277</v>
      </c>
      <c r="V550" s="256"/>
      <c r="W550" s="256"/>
      <c r="X550" s="256"/>
      <c r="Y550" s="256"/>
      <c r="Z550" s="256"/>
      <c r="AA550" s="256"/>
      <c r="AB550" s="256"/>
      <c r="AC550" s="254" t="s">
        <v>278</v>
      </c>
      <c r="AD550" s="256"/>
      <c r="AE550" s="256"/>
      <c r="AF550" s="256">
        <v>20250831</v>
      </c>
      <c r="AG550" s="256"/>
      <c r="AH550" s="256"/>
      <c r="AI550" s="256">
        <v>20250831</v>
      </c>
      <c r="AJ550" s="256">
        <v>9001562642</v>
      </c>
      <c r="AK550" s="256"/>
      <c r="AL550" s="256"/>
      <c r="AM550" s="254" t="s">
        <v>316</v>
      </c>
      <c r="AO550" s="234" t="s">
        <v>111</v>
      </c>
      <c r="AP550" s="232">
        <f t="shared" si="22"/>
        <v>9831136</v>
      </c>
      <c r="AQ550" s="230">
        <f t="shared" si="20"/>
        <v>8</v>
      </c>
    </row>
    <row r="551" spans="1:43">
      <c r="A551" s="254">
        <v>1</v>
      </c>
      <c r="B551" s="254" t="s">
        <v>273</v>
      </c>
      <c r="C551" s="254" t="s">
        <v>280</v>
      </c>
      <c r="D551" s="255">
        <v>45900</v>
      </c>
      <c r="E551" s="255">
        <v>45900</v>
      </c>
      <c r="F551" s="254" t="s">
        <v>281</v>
      </c>
      <c r="G551" s="254" t="s">
        <v>275</v>
      </c>
      <c r="H551" s="254"/>
      <c r="I551" s="254">
        <v>76</v>
      </c>
      <c r="J551" s="254" t="s">
        <v>276</v>
      </c>
      <c r="K551" s="254">
        <v>1533010002</v>
      </c>
      <c r="L551" s="256"/>
      <c r="M551" s="256"/>
      <c r="N551" s="256"/>
      <c r="O551" s="256"/>
      <c r="P551" s="256"/>
      <c r="Q551" s="256"/>
      <c r="R551" s="256"/>
      <c r="S551" s="256"/>
      <c r="T551" s="256">
        <v>-10206631</v>
      </c>
      <c r="U551" s="254" t="s">
        <v>277</v>
      </c>
      <c r="V551" s="256"/>
      <c r="W551" s="256"/>
      <c r="X551" s="256"/>
      <c r="Y551" s="256"/>
      <c r="Z551" s="256"/>
      <c r="AA551" s="256"/>
      <c r="AB551" s="256"/>
      <c r="AC551" s="254" t="s">
        <v>278</v>
      </c>
      <c r="AD551" s="256"/>
      <c r="AE551" s="256"/>
      <c r="AF551" s="256">
        <v>20250831</v>
      </c>
      <c r="AG551" s="256"/>
      <c r="AH551" s="256"/>
      <c r="AI551" s="256">
        <v>20250831</v>
      </c>
      <c r="AJ551" s="256">
        <v>8002514406</v>
      </c>
      <c r="AK551" s="256"/>
      <c r="AL551" s="256"/>
      <c r="AM551" s="254" t="s">
        <v>283</v>
      </c>
      <c r="AO551" s="234" t="s">
        <v>115</v>
      </c>
      <c r="AP551" s="232">
        <f t="shared" si="22"/>
        <v>10206631</v>
      </c>
      <c r="AQ551" s="230">
        <f t="shared" si="20"/>
        <v>8</v>
      </c>
    </row>
    <row r="552" spans="1:43">
      <c r="A552" s="254">
        <v>1</v>
      </c>
      <c r="B552" s="254" t="s">
        <v>273</v>
      </c>
      <c r="C552" s="254" t="s">
        <v>280</v>
      </c>
      <c r="D552" s="255">
        <v>45900</v>
      </c>
      <c r="E552" s="255">
        <v>45900</v>
      </c>
      <c r="F552" s="254" t="s">
        <v>281</v>
      </c>
      <c r="G552" s="254" t="s">
        <v>275</v>
      </c>
      <c r="H552" s="254"/>
      <c r="I552" s="254">
        <v>77</v>
      </c>
      <c r="J552" s="254" t="s">
        <v>276</v>
      </c>
      <c r="K552" s="254">
        <v>1533010002</v>
      </c>
      <c r="L552" s="256"/>
      <c r="M552" s="256"/>
      <c r="N552" s="256"/>
      <c r="O552" s="256"/>
      <c r="P552" s="256"/>
      <c r="Q552" s="256"/>
      <c r="R552" s="256"/>
      <c r="S552" s="256"/>
      <c r="T552" s="256">
        <v>-142350</v>
      </c>
      <c r="U552" s="254" t="s">
        <v>277</v>
      </c>
      <c r="V552" s="256"/>
      <c r="W552" s="256"/>
      <c r="X552" s="256"/>
      <c r="Y552" s="256"/>
      <c r="Z552" s="256"/>
      <c r="AA552" s="256"/>
      <c r="AB552" s="256"/>
      <c r="AC552" s="254" t="s">
        <v>278</v>
      </c>
      <c r="AD552" s="256"/>
      <c r="AE552" s="256"/>
      <c r="AF552" s="256">
        <v>20250831</v>
      </c>
      <c r="AG552" s="256"/>
      <c r="AH552" s="256"/>
      <c r="AI552" s="256">
        <v>20250831</v>
      </c>
      <c r="AJ552" s="256">
        <v>9009142541</v>
      </c>
      <c r="AK552" s="256"/>
      <c r="AL552" s="256"/>
      <c r="AM552" s="254" t="s">
        <v>296</v>
      </c>
      <c r="AO552" s="234">
        <v>0</v>
      </c>
      <c r="AP552" s="232">
        <f t="shared" si="22"/>
        <v>142350</v>
      </c>
      <c r="AQ552" s="230">
        <f t="shared" si="20"/>
        <v>8</v>
      </c>
    </row>
    <row r="553" spans="1:43">
      <c r="A553" s="254">
        <v>1</v>
      </c>
      <c r="B553" s="254" t="s">
        <v>273</v>
      </c>
      <c r="C553" s="254" t="s">
        <v>280</v>
      </c>
      <c r="D553" s="255">
        <v>45900</v>
      </c>
      <c r="E553" s="255">
        <v>45900</v>
      </c>
      <c r="F553" s="254" t="s">
        <v>281</v>
      </c>
      <c r="G553" s="254" t="s">
        <v>275</v>
      </c>
      <c r="H553" s="254"/>
      <c r="I553" s="254">
        <v>78</v>
      </c>
      <c r="J553" s="254" t="s">
        <v>276</v>
      </c>
      <c r="K553" s="254">
        <v>1533010002</v>
      </c>
      <c r="L553" s="256"/>
      <c r="M553" s="256"/>
      <c r="N553" s="256"/>
      <c r="O553" s="256"/>
      <c r="P553" s="256"/>
      <c r="Q553" s="256"/>
      <c r="R553" s="256"/>
      <c r="S553" s="256"/>
      <c r="T553" s="256">
        <v>-142350</v>
      </c>
      <c r="U553" s="254" t="s">
        <v>277</v>
      </c>
      <c r="V553" s="256"/>
      <c r="W553" s="256"/>
      <c r="X553" s="256"/>
      <c r="Y553" s="256"/>
      <c r="Z553" s="256"/>
      <c r="AA553" s="256"/>
      <c r="AB553" s="256"/>
      <c r="AC553" s="254" t="s">
        <v>278</v>
      </c>
      <c r="AD553" s="256"/>
      <c r="AE553" s="256"/>
      <c r="AF553" s="256">
        <v>20250831</v>
      </c>
      <c r="AG553" s="256"/>
      <c r="AH553" s="256"/>
      <c r="AI553" s="256">
        <v>20250831</v>
      </c>
      <c r="AJ553" s="256">
        <v>8060083947</v>
      </c>
      <c r="AK553" s="256"/>
      <c r="AL553" s="256"/>
      <c r="AM553" s="254" t="s">
        <v>298</v>
      </c>
      <c r="AO553" s="234">
        <v>0</v>
      </c>
      <c r="AP553" s="232">
        <f t="shared" si="22"/>
        <v>142350</v>
      </c>
      <c r="AQ553" s="230">
        <f t="shared" si="20"/>
        <v>8</v>
      </c>
    </row>
    <row r="554" spans="1:43">
      <c r="A554" s="254">
        <v>1</v>
      </c>
      <c r="B554" s="254" t="s">
        <v>273</v>
      </c>
      <c r="C554" s="254" t="s">
        <v>280</v>
      </c>
      <c r="D554" s="255">
        <v>45900</v>
      </c>
      <c r="E554" s="255">
        <v>45900</v>
      </c>
      <c r="F554" s="254" t="s">
        <v>281</v>
      </c>
      <c r="G554" s="254" t="s">
        <v>275</v>
      </c>
      <c r="H554" s="254"/>
      <c r="I554" s="254">
        <v>79</v>
      </c>
      <c r="J554" s="254" t="s">
        <v>276</v>
      </c>
      <c r="K554" s="254">
        <v>1533010002</v>
      </c>
      <c r="L554" s="256"/>
      <c r="M554" s="256"/>
      <c r="N554" s="256"/>
      <c r="O554" s="256"/>
      <c r="P554" s="256"/>
      <c r="Q554" s="256"/>
      <c r="R554" s="256"/>
      <c r="S554" s="256"/>
      <c r="T554" s="256">
        <v>-2113194</v>
      </c>
      <c r="U554" s="254" t="s">
        <v>277</v>
      </c>
      <c r="V554" s="256"/>
      <c r="W554" s="256"/>
      <c r="X554" s="256"/>
      <c r="Y554" s="256"/>
      <c r="Z554" s="256"/>
      <c r="AA554" s="256"/>
      <c r="AB554" s="256"/>
      <c r="AC554" s="254" t="s">
        <v>278</v>
      </c>
      <c r="AD554" s="256"/>
      <c r="AE554" s="256"/>
      <c r="AF554" s="256">
        <v>20250831</v>
      </c>
      <c r="AG554" s="256"/>
      <c r="AH554" s="256"/>
      <c r="AI554" s="256">
        <v>20250831</v>
      </c>
      <c r="AJ554" s="256">
        <v>8002514406</v>
      </c>
      <c r="AK554" s="256"/>
      <c r="AL554" s="256"/>
      <c r="AM554" s="254" t="s">
        <v>283</v>
      </c>
      <c r="AO554" s="234" t="s">
        <v>115</v>
      </c>
      <c r="AP554" s="232">
        <f t="shared" si="22"/>
        <v>2113194</v>
      </c>
      <c r="AQ554" s="230">
        <f t="shared" si="20"/>
        <v>8</v>
      </c>
    </row>
    <row r="555" spans="1:43">
      <c r="A555" s="254">
        <v>1</v>
      </c>
      <c r="B555" s="254" t="s">
        <v>273</v>
      </c>
      <c r="C555" s="254" t="s">
        <v>280</v>
      </c>
      <c r="D555" s="255">
        <v>45900</v>
      </c>
      <c r="E555" s="255">
        <v>45900</v>
      </c>
      <c r="F555" s="254" t="s">
        <v>281</v>
      </c>
      <c r="G555" s="254" t="s">
        <v>275</v>
      </c>
      <c r="H555" s="254"/>
      <c r="I555" s="254">
        <v>80</v>
      </c>
      <c r="J555" s="254" t="s">
        <v>276</v>
      </c>
      <c r="K555" s="254">
        <v>1533010002</v>
      </c>
      <c r="L555" s="256"/>
      <c r="M555" s="256"/>
      <c r="N555" s="256"/>
      <c r="O555" s="256"/>
      <c r="P555" s="256"/>
      <c r="Q555" s="256"/>
      <c r="R555" s="256"/>
      <c r="S555" s="256"/>
      <c r="T555" s="256">
        <v>-1281150</v>
      </c>
      <c r="U555" s="254" t="s">
        <v>277</v>
      </c>
      <c r="V555" s="256"/>
      <c r="W555" s="256"/>
      <c r="X555" s="256"/>
      <c r="Y555" s="256"/>
      <c r="Z555" s="256"/>
      <c r="AA555" s="256"/>
      <c r="AB555" s="256"/>
      <c r="AC555" s="254" t="s">
        <v>278</v>
      </c>
      <c r="AD555" s="256"/>
      <c r="AE555" s="256"/>
      <c r="AF555" s="256">
        <v>20250831</v>
      </c>
      <c r="AG555" s="256"/>
      <c r="AH555" s="256"/>
      <c r="AI555" s="256">
        <v>20250831</v>
      </c>
      <c r="AJ555" s="256">
        <v>8050011572</v>
      </c>
      <c r="AK555" s="256"/>
      <c r="AL555" s="256"/>
      <c r="AM555" s="254" t="s">
        <v>284</v>
      </c>
      <c r="AO555" s="234">
        <v>0</v>
      </c>
      <c r="AP555" s="232">
        <f t="shared" si="22"/>
        <v>1281150</v>
      </c>
      <c r="AQ555" s="230">
        <f t="shared" si="20"/>
        <v>8</v>
      </c>
    </row>
    <row r="556" spans="1:43">
      <c r="A556" s="254">
        <v>1</v>
      </c>
      <c r="B556" s="254" t="s">
        <v>273</v>
      </c>
      <c r="C556" s="254" t="s">
        <v>280</v>
      </c>
      <c r="D556" s="255">
        <v>45900</v>
      </c>
      <c r="E556" s="255">
        <v>45900</v>
      </c>
      <c r="F556" s="254" t="s">
        <v>281</v>
      </c>
      <c r="G556" s="254" t="s">
        <v>275</v>
      </c>
      <c r="H556" s="254"/>
      <c r="I556" s="254">
        <v>81</v>
      </c>
      <c r="J556" s="254" t="s">
        <v>276</v>
      </c>
      <c r="K556" s="254">
        <v>1533010002</v>
      </c>
      <c r="L556" s="256"/>
      <c r="M556" s="256"/>
      <c r="N556" s="256"/>
      <c r="O556" s="256"/>
      <c r="P556" s="256"/>
      <c r="Q556" s="256"/>
      <c r="R556" s="256"/>
      <c r="S556" s="256"/>
      <c r="T556" s="256">
        <v>-2141781</v>
      </c>
      <c r="U556" s="254" t="s">
        <v>277</v>
      </c>
      <c r="V556" s="256"/>
      <c r="W556" s="256"/>
      <c r="X556" s="256"/>
      <c r="Y556" s="256"/>
      <c r="Z556" s="256"/>
      <c r="AA556" s="256"/>
      <c r="AB556" s="256"/>
      <c r="AC556" s="254" t="s">
        <v>278</v>
      </c>
      <c r="AD556" s="256"/>
      <c r="AE556" s="256"/>
      <c r="AF556" s="256">
        <v>20250831</v>
      </c>
      <c r="AG556" s="256"/>
      <c r="AH556" s="256"/>
      <c r="AI556" s="256">
        <v>20250831</v>
      </c>
      <c r="AJ556" s="256">
        <v>8600021839</v>
      </c>
      <c r="AK556" s="256"/>
      <c r="AL556" s="256"/>
      <c r="AM556" s="254" t="s">
        <v>288</v>
      </c>
      <c r="AO556" s="234">
        <v>0</v>
      </c>
      <c r="AP556" s="232">
        <f t="shared" si="22"/>
        <v>2141781</v>
      </c>
      <c r="AQ556" s="230">
        <f t="shared" si="20"/>
        <v>8</v>
      </c>
    </row>
    <row r="557" spans="1:43">
      <c r="A557" s="254">
        <v>1</v>
      </c>
      <c r="B557" s="254" t="s">
        <v>273</v>
      </c>
      <c r="C557" s="254" t="s">
        <v>280</v>
      </c>
      <c r="D557" s="255">
        <v>45900</v>
      </c>
      <c r="E557" s="255">
        <v>45900</v>
      </c>
      <c r="F557" s="254" t="s">
        <v>281</v>
      </c>
      <c r="G557" s="254" t="s">
        <v>275</v>
      </c>
      <c r="H557" s="254"/>
      <c r="I557" s="254">
        <v>82</v>
      </c>
      <c r="J557" s="254" t="s">
        <v>276</v>
      </c>
      <c r="K557" s="254">
        <v>1533010002</v>
      </c>
      <c r="L557" s="256"/>
      <c r="M557" s="256"/>
      <c r="N557" s="256"/>
      <c r="O557" s="256"/>
      <c r="P557" s="256"/>
      <c r="Q557" s="256"/>
      <c r="R557" s="256"/>
      <c r="S557" s="256"/>
      <c r="T557" s="256">
        <v>-189800</v>
      </c>
      <c r="U557" s="254" t="s">
        <v>277</v>
      </c>
      <c r="V557" s="256"/>
      <c r="W557" s="256"/>
      <c r="X557" s="256"/>
      <c r="Y557" s="256"/>
      <c r="Z557" s="256"/>
      <c r="AA557" s="256"/>
      <c r="AB557" s="256"/>
      <c r="AC557" s="254" t="s">
        <v>278</v>
      </c>
      <c r="AD557" s="256"/>
      <c r="AE557" s="256"/>
      <c r="AF557" s="256">
        <v>20250831</v>
      </c>
      <c r="AG557" s="256"/>
      <c r="AH557" s="256"/>
      <c r="AI557" s="256">
        <v>20250831</v>
      </c>
      <c r="AJ557" s="256">
        <v>8000887022</v>
      </c>
      <c r="AK557" s="256"/>
      <c r="AL557" s="256"/>
      <c r="AM557" s="254" t="s">
        <v>292</v>
      </c>
      <c r="AO557" s="234" t="s">
        <v>108</v>
      </c>
      <c r="AP557" s="232">
        <f t="shared" si="22"/>
        <v>189800</v>
      </c>
      <c r="AQ557" s="230">
        <f t="shared" si="20"/>
        <v>8</v>
      </c>
    </row>
    <row r="558" spans="1:43">
      <c r="A558" s="254">
        <v>1</v>
      </c>
      <c r="B558" s="254" t="s">
        <v>273</v>
      </c>
      <c r="C558" s="254" t="s">
        <v>280</v>
      </c>
      <c r="D558" s="255">
        <v>45900</v>
      </c>
      <c r="E558" s="255">
        <v>45900</v>
      </c>
      <c r="F558" s="254" t="s">
        <v>281</v>
      </c>
      <c r="G558" s="254" t="s">
        <v>275</v>
      </c>
      <c r="H558" s="254"/>
      <c r="I558" s="254">
        <v>83</v>
      </c>
      <c r="J558" s="254" t="s">
        <v>276</v>
      </c>
      <c r="K558" s="254">
        <v>1533010002</v>
      </c>
      <c r="L558" s="256"/>
      <c r="M558" s="256"/>
      <c r="N558" s="256"/>
      <c r="O558" s="256"/>
      <c r="P558" s="256"/>
      <c r="Q558" s="256"/>
      <c r="R558" s="256"/>
      <c r="S558" s="256"/>
      <c r="T558" s="256">
        <v>-342522</v>
      </c>
      <c r="U558" s="254" t="s">
        <v>277</v>
      </c>
      <c r="V558" s="256"/>
      <c r="W558" s="256"/>
      <c r="X558" s="256"/>
      <c r="Y558" s="256"/>
      <c r="Z558" s="256"/>
      <c r="AA558" s="256"/>
      <c r="AB558" s="256"/>
      <c r="AC558" s="254" t="s">
        <v>278</v>
      </c>
      <c r="AD558" s="256"/>
      <c r="AE558" s="256"/>
      <c r="AF558" s="256">
        <v>20250831</v>
      </c>
      <c r="AG558" s="256"/>
      <c r="AH558" s="256"/>
      <c r="AI558" s="256">
        <v>20250831</v>
      </c>
      <c r="AJ558" s="256">
        <v>8300035647</v>
      </c>
      <c r="AK558" s="256"/>
      <c r="AL558" s="256"/>
      <c r="AM558" s="254" t="s">
        <v>286</v>
      </c>
      <c r="AO558" s="234" t="s">
        <v>109</v>
      </c>
      <c r="AP558" s="232">
        <f t="shared" si="22"/>
        <v>342522</v>
      </c>
      <c r="AQ558" s="230">
        <f t="shared" si="20"/>
        <v>8</v>
      </c>
    </row>
    <row r="559" spans="1:43">
      <c r="A559" s="254">
        <v>1</v>
      </c>
      <c r="B559" s="254" t="s">
        <v>273</v>
      </c>
      <c r="C559" s="254" t="s">
        <v>280</v>
      </c>
      <c r="D559" s="255">
        <v>45900</v>
      </c>
      <c r="E559" s="255">
        <v>45900</v>
      </c>
      <c r="F559" s="254" t="s">
        <v>281</v>
      </c>
      <c r="G559" s="254" t="s">
        <v>275</v>
      </c>
      <c r="H559" s="254"/>
      <c r="I559" s="254">
        <v>84</v>
      </c>
      <c r="J559" s="254" t="s">
        <v>276</v>
      </c>
      <c r="K559" s="254">
        <v>1533010002</v>
      </c>
      <c r="L559" s="256"/>
      <c r="M559" s="256"/>
      <c r="N559" s="256"/>
      <c r="O559" s="256"/>
      <c r="P559" s="256"/>
      <c r="Q559" s="256"/>
      <c r="R559" s="256"/>
      <c r="S559" s="256"/>
      <c r="T559" s="256">
        <v>-8205395</v>
      </c>
      <c r="U559" s="254" t="s">
        <v>277</v>
      </c>
      <c r="V559" s="256"/>
      <c r="W559" s="256"/>
      <c r="X559" s="256"/>
      <c r="Y559" s="256"/>
      <c r="Z559" s="256"/>
      <c r="AA559" s="256"/>
      <c r="AB559" s="256"/>
      <c r="AC559" s="254" t="s">
        <v>278</v>
      </c>
      <c r="AD559" s="256"/>
      <c r="AE559" s="256"/>
      <c r="AF559" s="256">
        <v>20250831</v>
      </c>
      <c r="AG559" s="256"/>
      <c r="AH559" s="256"/>
      <c r="AI559" s="256">
        <v>20250831</v>
      </c>
      <c r="AJ559" s="256">
        <v>8001309074</v>
      </c>
      <c r="AK559" s="256"/>
      <c r="AL559" s="256"/>
      <c r="AM559" s="254" t="s">
        <v>305</v>
      </c>
      <c r="AO559" s="234">
        <v>0</v>
      </c>
      <c r="AP559" s="232">
        <f t="shared" si="22"/>
        <v>8205395</v>
      </c>
      <c r="AQ559" s="230">
        <f t="shared" si="20"/>
        <v>8</v>
      </c>
    </row>
    <row r="560" spans="1:43">
      <c r="A560" s="254">
        <v>1</v>
      </c>
      <c r="B560" s="254" t="s">
        <v>273</v>
      </c>
      <c r="C560" s="254" t="s">
        <v>280</v>
      </c>
      <c r="D560" s="255">
        <v>45900</v>
      </c>
      <c r="E560" s="255">
        <v>45900</v>
      </c>
      <c r="F560" s="254" t="s">
        <v>281</v>
      </c>
      <c r="G560" s="254" t="s">
        <v>275</v>
      </c>
      <c r="H560" s="254"/>
      <c r="I560" s="254">
        <v>85</v>
      </c>
      <c r="J560" s="254" t="s">
        <v>276</v>
      </c>
      <c r="K560" s="254">
        <v>1533010002</v>
      </c>
      <c r="L560" s="256"/>
      <c r="M560" s="256"/>
      <c r="N560" s="256"/>
      <c r="O560" s="256"/>
      <c r="P560" s="256"/>
      <c r="Q560" s="256"/>
      <c r="R560" s="256"/>
      <c r="S560" s="256"/>
      <c r="T560" s="256">
        <v>-2223182</v>
      </c>
      <c r="U560" s="254" t="s">
        <v>277</v>
      </c>
      <c r="V560" s="256"/>
      <c r="W560" s="256"/>
      <c r="X560" s="256"/>
      <c r="Y560" s="256"/>
      <c r="Z560" s="256"/>
      <c r="AA560" s="256"/>
      <c r="AB560" s="256"/>
      <c r="AC560" s="254" t="s">
        <v>278</v>
      </c>
      <c r="AD560" s="256"/>
      <c r="AE560" s="256"/>
      <c r="AF560" s="256">
        <v>20250831</v>
      </c>
      <c r="AG560" s="256"/>
      <c r="AH560" s="256"/>
      <c r="AI560" s="256">
        <v>20250831</v>
      </c>
      <c r="AJ560" s="256">
        <v>8600669427</v>
      </c>
      <c r="AK560" s="256"/>
      <c r="AL560" s="256"/>
      <c r="AM560" s="254" t="s">
        <v>289</v>
      </c>
      <c r="AO560" s="234" t="s">
        <v>101</v>
      </c>
      <c r="AP560" s="232">
        <f t="shared" si="22"/>
        <v>2223182</v>
      </c>
      <c r="AQ560" s="230">
        <f t="shared" si="20"/>
        <v>8</v>
      </c>
    </row>
    <row r="561" spans="1:43">
      <c r="A561" s="254">
        <v>1</v>
      </c>
      <c r="B561" s="254" t="s">
        <v>273</v>
      </c>
      <c r="C561" s="254" t="s">
        <v>280</v>
      </c>
      <c r="D561" s="255">
        <v>45900</v>
      </c>
      <c r="E561" s="255">
        <v>45900</v>
      </c>
      <c r="F561" s="254" t="s">
        <v>281</v>
      </c>
      <c r="G561" s="254" t="s">
        <v>275</v>
      </c>
      <c r="H561" s="254"/>
      <c r="I561" s="254">
        <v>86</v>
      </c>
      <c r="J561" s="254" t="s">
        <v>276</v>
      </c>
      <c r="K561" s="254">
        <v>1533010002</v>
      </c>
      <c r="L561" s="256"/>
      <c r="M561" s="256"/>
      <c r="N561" s="256"/>
      <c r="O561" s="256"/>
      <c r="P561" s="256"/>
      <c r="Q561" s="256"/>
      <c r="R561" s="256"/>
      <c r="S561" s="256"/>
      <c r="T561" s="256">
        <v>-5978700</v>
      </c>
      <c r="U561" s="254" t="s">
        <v>277</v>
      </c>
      <c r="V561" s="256"/>
      <c r="W561" s="256"/>
      <c r="X561" s="256"/>
      <c r="Y561" s="256"/>
      <c r="Z561" s="256"/>
      <c r="AA561" s="256"/>
      <c r="AB561" s="256"/>
      <c r="AC561" s="254" t="s">
        <v>278</v>
      </c>
      <c r="AD561" s="256"/>
      <c r="AE561" s="256"/>
      <c r="AF561" s="256">
        <v>20250831</v>
      </c>
      <c r="AG561" s="256"/>
      <c r="AH561" s="256"/>
      <c r="AI561" s="256">
        <v>20250831</v>
      </c>
      <c r="AJ561" s="256">
        <v>8002514406</v>
      </c>
      <c r="AK561" s="256"/>
      <c r="AL561" s="256"/>
      <c r="AM561" s="254" t="s">
        <v>283</v>
      </c>
      <c r="AO561" s="234" t="s">
        <v>115</v>
      </c>
      <c r="AP561" s="232">
        <f t="shared" si="22"/>
        <v>5978700</v>
      </c>
      <c r="AQ561" s="230">
        <f t="shared" si="20"/>
        <v>8</v>
      </c>
    </row>
    <row r="562" spans="1:43">
      <c r="A562" s="254">
        <v>1</v>
      </c>
      <c r="B562" s="254" t="s">
        <v>273</v>
      </c>
      <c r="C562" s="254" t="s">
        <v>280</v>
      </c>
      <c r="D562" s="255">
        <v>45900</v>
      </c>
      <c r="E562" s="255">
        <v>45900</v>
      </c>
      <c r="F562" s="254" t="s">
        <v>281</v>
      </c>
      <c r="G562" s="254" t="s">
        <v>275</v>
      </c>
      <c r="H562" s="254"/>
      <c r="I562" s="254">
        <v>87</v>
      </c>
      <c r="J562" s="254" t="s">
        <v>276</v>
      </c>
      <c r="K562" s="254">
        <v>1533010002</v>
      </c>
      <c r="L562" s="256"/>
      <c r="M562" s="256"/>
      <c r="N562" s="256"/>
      <c r="O562" s="256"/>
      <c r="P562" s="256"/>
      <c r="Q562" s="256"/>
      <c r="R562" s="256"/>
      <c r="S562" s="256"/>
      <c r="T562" s="256">
        <v>-47450</v>
      </c>
      <c r="U562" s="254" t="s">
        <v>277</v>
      </c>
      <c r="V562" s="256"/>
      <c r="W562" s="256"/>
      <c r="X562" s="256"/>
      <c r="Y562" s="256"/>
      <c r="Z562" s="256"/>
      <c r="AA562" s="256"/>
      <c r="AB562" s="256"/>
      <c r="AC562" s="254" t="s">
        <v>278</v>
      </c>
      <c r="AD562" s="256"/>
      <c r="AE562" s="256"/>
      <c r="AF562" s="256">
        <v>20250831</v>
      </c>
      <c r="AG562" s="256"/>
      <c r="AH562" s="256"/>
      <c r="AI562" s="256">
        <v>20250831</v>
      </c>
      <c r="AJ562" s="256">
        <v>8060083947</v>
      </c>
      <c r="AK562" s="256"/>
      <c r="AL562" s="256"/>
      <c r="AM562" s="254" t="s">
        <v>298</v>
      </c>
      <c r="AO562" s="234">
        <v>0</v>
      </c>
      <c r="AP562" s="232">
        <f t="shared" si="22"/>
        <v>47450</v>
      </c>
      <c r="AQ562" s="230">
        <f t="shared" si="20"/>
        <v>8</v>
      </c>
    </row>
    <row r="563" spans="1:43">
      <c r="A563" s="254">
        <v>1</v>
      </c>
      <c r="B563" s="254" t="s">
        <v>273</v>
      </c>
      <c r="C563" s="254" t="s">
        <v>280</v>
      </c>
      <c r="D563" s="255">
        <v>45900</v>
      </c>
      <c r="E563" s="255">
        <v>45900</v>
      </c>
      <c r="F563" s="254" t="s">
        <v>281</v>
      </c>
      <c r="G563" s="254" t="s">
        <v>275</v>
      </c>
      <c r="H563" s="254"/>
      <c r="I563" s="254">
        <v>88</v>
      </c>
      <c r="J563" s="254" t="s">
        <v>276</v>
      </c>
      <c r="K563" s="254">
        <v>1533010002</v>
      </c>
      <c r="L563" s="256"/>
      <c r="M563" s="256"/>
      <c r="N563" s="256"/>
      <c r="O563" s="256"/>
      <c r="P563" s="256"/>
      <c r="Q563" s="256"/>
      <c r="R563" s="256"/>
      <c r="S563" s="256"/>
      <c r="T563" s="256">
        <v>-1972760</v>
      </c>
      <c r="U563" s="254" t="s">
        <v>277</v>
      </c>
      <c r="V563" s="256"/>
      <c r="W563" s="256"/>
      <c r="X563" s="256"/>
      <c r="Y563" s="256"/>
      <c r="Z563" s="256"/>
      <c r="AA563" s="256"/>
      <c r="AB563" s="256"/>
      <c r="AC563" s="254" t="s">
        <v>278</v>
      </c>
      <c r="AD563" s="256"/>
      <c r="AE563" s="256"/>
      <c r="AF563" s="256">
        <v>20250831</v>
      </c>
      <c r="AG563" s="256"/>
      <c r="AH563" s="256"/>
      <c r="AI563" s="256">
        <v>20250831</v>
      </c>
      <c r="AJ563" s="256">
        <v>8000887022</v>
      </c>
      <c r="AK563" s="256"/>
      <c r="AL563" s="256"/>
      <c r="AM563" s="254" t="s">
        <v>292</v>
      </c>
      <c r="AO563" s="234" t="s">
        <v>108</v>
      </c>
      <c r="AP563" s="232">
        <f t="shared" si="22"/>
        <v>1972760</v>
      </c>
      <c r="AQ563" s="230">
        <f t="shared" si="20"/>
        <v>8</v>
      </c>
    </row>
    <row r="564" spans="1:43">
      <c r="A564" s="254">
        <v>1</v>
      </c>
      <c r="B564" s="254" t="s">
        <v>273</v>
      </c>
      <c r="C564" s="254" t="s">
        <v>280</v>
      </c>
      <c r="D564" s="255">
        <v>45900</v>
      </c>
      <c r="E564" s="255">
        <v>45900</v>
      </c>
      <c r="F564" s="254" t="s">
        <v>281</v>
      </c>
      <c r="G564" s="254" t="s">
        <v>275</v>
      </c>
      <c r="H564" s="254"/>
      <c r="I564" s="254">
        <v>89</v>
      </c>
      <c r="J564" s="254" t="s">
        <v>276</v>
      </c>
      <c r="K564" s="254">
        <v>1533010002</v>
      </c>
      <c r="L564" s="256"/>
      <c r="M564" s="256"/>
      <c r="N564" s="256"/>
      <c r="O564" s="256"/>
      <c r="P564" s="256"/>
      <c r="Q564" s="256"/>
      <c r="R564" s="256"/>
      <c r="S564" s="256"/>
      <c r="T564" s="256">
        <v>-5978700</v>
      </c>
      <c r="U564" s="254" t="s">
        <v>277</v>
      </c>
      <c r="V564" s="256"/>
      <c r="W564" s="256"/>
      <c r="X564" s="256"/>
      <c r="Y564" s="256"/>
      <c r="Z564" s="256"/>
      <c r="AA564" s="256"/>
      <c r="AB564" s="256"/>
      <c r="AC564" s="254" t="s">
        <v>278</v>
      </c>
      <c r="AD564" s="256"/>
      <c r="AE564" s="256"/>
      <c r="AF564" s="256">
        <v>20250831</v>
      </c>
      <c r="AG564" s="256"/>
      <c r="AH564" s="256"/>
      <c r="AI564" s="256">
        <v>20250831</v>
      </c>
      <c r="AJ564" s="256">
        <v>8002514406</v>
      </c>
      <c r="AK564" s="256"/>
      <c r="AL564" s="256"/>
      <c r="AM564" s="254" t="s">
        <v>283</v>
      </c>
      <c r="AO564" s="234" t="s">
        <v>115</v>
      </c>
      <c r="AP564" s="232">
        <f t="shared" si="22"/>
        <v>5978700</v>
      </c>
      <c r="AQ564" s="230">
        <f t="shared" si="20"/>
        <v>8</v>
      </c>
    </row>
    <row r="565" spans="1:43">
      <c r="A565" s="254">
        <v>1</v>
      </c>
      <c r="B565" s="254" t="s">
        <v>273</v>
      </c>
      <c r="C565" s="254" t="s">
        <v>280</v>
      </c>
      <c r="D565" s="255">
        <v>45900</v>
      </c>
      <c r="E565" s="255">
        <v>45900</v>
      </c>
      <c r="F565" s="254" t="s">
        <v>281</v>
      </c>
      <c r="G565" s="254" t="s">
        <v>275</v>
      </c>
      <c r="H565" s="254"/>
      <c r="I565" s="254">
        <v>90</v>
      </c>
      <c r="J565" s="254" t="s">
        <v>276</v>
      </c>
      <c r="K565" s="254">
        <v>1533010002</v>
      </c>
      <c r="L565" s="256"/>
      <c r="M565" s="256"/>
      <c r="N565" s="256"/>
      <c r="O565" s="256"/>
      <c r="P565" s="256"/>
      <c r="Q565" s="256"/>
      <c r="R565" s="256"/>
      <c r="S565" s="256"/>
      <c r="T565" s="256">
        <v>-929153</v>
      </c>
      <c r="U565" s="254" t="s">
        <v>277</v>
      </c>
      <c r="V565" s="256"/>
      <c r="W565" s="256"/>
      <c r="X565" s="256"/>
      <c r="Y565" s="256"/>
      <c r="Z565" s="256"/>
      <c r="AA565" s="256"/>
      <c r="AB565" s="256"/>
      <c r="AC565" s="254" t="s">
        <v>278</v>
      </c>
      <c r="AD565" s="256"/>
      <c r="AE565" s="256"/>
      <c r="AF565" s="256">
        <v>20250831</v>
      </c>
      <c r="AG565" s="256"/>
      <c r="AH565" s="256"/>
      <c r="AI565" s="256">
        <v>20250831</v>
      </c>
      <c r="AJ565" s="256">
        <v>8300035647</v>
      </c>
      <c r="AK565" s="256"/>
      <c r="AL565" s="256"/>
      <c r="AM565" s="254" t="s">
        <v>286</v>
      </c>
      <c r="AO565" s="234" t="s">
        <v>109</v>
      </c>
      <c r="AP565" s="232">
        <f t="shared" si="22"/>
        <v>929153</v>
      </c>
      <c r="AQ565" s="230">
        <f t="shared" si="20"/>
        <v>8</v>
      </c>
    </row>
    <row r="566" spans="1:43">
      <c r="A566" s="254">
        <v>1</v>
      </c>
      <c r="B566" s="254" t="s">
        <v>273</v>
      </c>
      <c r="C566" s="254" t="s">
        <v>280</v>
      </c>
      <c r="D566" s="255">
        <v>45900</v>
      </c>
      <c r="E566" s="255">
        <v>45900</v>
      </c>
      <c r="F566" s="254" t="s">
        <v>281</v>
      </c>
      <c r="G566" s="254" t="s">
        <v>275</v>
      </c>
      <c r="H566" s="254"/>
      <c r="I566" s="254">
        <v>91</v>
      </c>
      <c r="J566" s="254" t="s">
        <v>276</v>
      </c>
      <c r="K566" s="254">
        <v>1533010002</v>
      </c>
      <c r="L566" s="256"/>
      <c r="M566" s="256"/>
      <c r="N566" s="256"/>
      <c r="O566" s="256"/>
      <c r="P566" s="256"/>
      <c r="Q566" s="256"/>
      <c r="R566" s="256"/>
      <c r="S566" s="256"/>
      <c r="T566" s="256">
        <v>-82854</v>
      </c>
      <c r="U566" s="254" t="s">
        <v>277</v>
      </c>
      <c r="V566" s="256"/>
      <c r="W566" s="256"/>
      <c r="X566" s="256"/>
      <c r="Y566" s="256"/>
      <c r="Z566" s="256"/>
      <c r="AA566" s="256"/>
      <c r="AB566" s="256"/>
      <c r="AC566" s="254" t="s">
        <v>278</v>
      </c>
      <c r="AD566" s="256"/>
      <c r="AE566" s="256"/>
      <c r="AF566" s="256">
        <v>20250831</v>
      </c>
      <c r="AG566" s="256"/>
      <c r="AH566" s="256"/>
      <c r="AI566" s="256">
        <v>20250831</v>
      </c>
      <c r="AJ566" s="256">
        <v>8002514406</v>
      </c>
      <c r="AK566" s="256"/>
      <c r="AL566" s="256"/>
      <c r="AM566" s="254" t="s">
        <v>283</v>
      </c>
      <c r="AO566" s="234" t="s">
        <v>115</v>
      </c>
      <c r="AP566" s="232">
        <f t="shared" si="22"/>
        <v>82854</v>
      </c>
      <c r="AQ566" s="230">
        <f t="shared" si="20"/>
        <v>8</v>
      </c>
    </row>
    <row r="567" spans="1:43">
      <c r="A567" s="254">
        <v>1</v>
      </c>
      <c r="B567" s="254" t="s">
        <v>273</v>
      </c>
      <c r="C567" s="254" t="s">
        <v>280</v>
      </c>
      <c r="D567" s="255">
        <v>45900</v>
      </c>
      <c r="E567" s="255">
        <v>45900</v>
      </c>
      <c r="F567" s="254" t="s">
        <v>281</v>
      </c>
      <c r="G567" s="254" t="s">
        <v>275</v>
      </c>
      <c r="H567" s="254"/>
      <c r="I567" s="254">
        <v>92</v>
      </c>
      <c r="J567" s="254" t="s">
        <v>276</v>
      </c>
      <c r="K567" s="254">
        <v>1533010002</v>
      </c>
      <c r="L567" s="256"/>
      <c r="M567" s="256"/>
      <c r="N567" s="256"/>
      <c r="O567" s="256"/>
      <c r="P567" s="256"/>
      <c r="Q567" s="256"/>
      <c r="R567" s="256"/>
      <c r="S567" s="256"/>
      <c r="T567" s="256">
        <v>-1568026</v>
      </c>
      <c r="U567" s="254" t="s">
        <v>277</v>
      </c>
      <c r="V567" s="256"/>
      <c r="W567" s="256"/>
      <c r="X567" s="256"/>
      <c r="Y567" s="256"/>
      <c r="Z567" s="256"/>
      <c r="AA567" s="256"/>
      <c r="AB567" s="256"/>
      <c r="AC567" s="254" t="s">
        <v>278</v>
      </c>
      <c r="AD567" s="256"/>
      <c r="AE567" s="256"/>
      <c r="AF567" s="256">
        <v>20250831</v>
      </c>
      <c r="AG567" s="256"/>
      <c r="AH567" s="256"/>
      <c r="AI567" s="256">
        <v>20250831</v>
      </c>
      <c r="AJ567" s="256">
        <v>9001562642</v>
      </c>
      <c r="AK567" s="256"/>
      <c r="AL567" s="256"/>
      <c r="AM567" s="254" t="s">
        <v>316</v>
      </c>
      <c r="AO567" s="234" t="s">
        <v>111</v>
      </c>
      <c r="AP567" s="232">
        <f t="shared" si="22"/>
        <v>1568026</v>
      </c>
      <c r="AQ567" s="230">
        <f t="shared" si="20"/>
        <v>8</v>
      </c>
    </row>
    <row r="568" spans="1:43">
      <c r="A568" s="254">
        <v>1</v>
      </c>
      <c r="B568" s="254" t="s">
        <v>273</v>
      </c>
      <c r="C568" s="254" t="s">
        <v>280</v>
      </c>
      <c r="D568" s="255">
        <v>45900</v>
      </c>
      <c r="E568" s="255">
        <v>45900</v>
      </c>
      <c r="F568" s="254" t="s">
        <v>281</v>
      </c>
      <c r="G568" s="254" t="s">
        <v>275</v>
      </c>
      <c r="H568" s="254"/>
      <c r="I568" s="254">
        <v>93</v>
      </c>
      <c r="J568" s="254" t="s">
        <v>276</v>
      </c>
      <c r="K568" s="254">
        <v>1533010002</v>
      </c>
      <c r="L568" s="256"/>
      <c r="M568" s="256"/>
      <c r="N568" s="256"/>
      <c r="O568" s="256"/>
      <c r="P568" s="256"/>
      <c r="Q568" s="256"/>
      <c r="R568" s="256"/>
      <c r="S568" s="256"/>
      <c r="T568" s="256">
        <v>-11738515</v>
      </c>
      <c r="U568" s="254" t="s">
        <v>277</v>
      </c>
      <c r="V568" s="256"/>
      <c r="W568" s="256"/>
      <c r="X568" s="256"/>
      <c r="Y568" s="256"/>
      <c r="Z568" s="256"/>
      <c r="AA568" s="256"/>
      <c r="AB568" s="256"/>
      <c r="AC568" s="254" t="s">
        <v>278</v>
      </c>
      <c r="AD568" s="256"/>
      <c r="AE568" s="256"/>
      <c r="AF568" s="256">
        <v>20250831</v>
      </c>
      <c r="AG568" s="256"/>
      <c r="AH568" s="256"/>
      <c r="AI568" s="256">
        <v>20250831</v>
      </c>
      <c r="AJ568" s="256">
        <v>9001562642</v>
      </c>
      <c r="AK568" s="256"/>
      <c r="AL568" s="256"/>
      <c r="AM568" s="254" t="s">
        <v>316</v>
      </c>
      <c r="AO568" s="234" t="s">
        <v>111</v>
      </c>
      <c r="AP568" s="232">
        <f t="shared" si="22"/>
        <v>11738515</v>
      </c>
      <c r="AQ568" s="230">
        <f t="shared" si="20"/>
        <v>8</v>
      </c>
    </row>
    <row r="569" spans="1:43">
      <c r="A569" s="254">
        <v>1</v>
      </c>
      <c r="B569" s="254" t="s">
        <v>273</v>
      </c>
      <c r="C569" s="254" t="s">
        <v>280</v>
      </c>
      <c r="D569" s="255">
        <v>45900</v>
      </c>
      <c r="E569" s="255">
        <v>45900</v>
      </c>
      <c r="F569" s="254" t="s">
        <v>281</v>
      </c>
      <c r="G569" s="254" t="s">
        <v>275</v>
      </c>
      <c r="H569" s="254"/>
      <c r="I569" s="254">
        <v>95</v>
      </c>
      <c r="J569" s="254" t="s">
        <v>276</v>
      </c>
      <c r="K569" s="254">
        <v>1533010002</v>
      </c>
      <c r="L569" s="256"/>
      <c r="M569" s="256"/>
      <c r="N569" s="256"/>
      <c r="O569" s="256"/>
      <c r="P569" s="256"/>
      <c r="Q569" s="256"/>
      <c r="R569" s="256"/>
      <c r="S569" s="256"/>
      <c r="T569" s="256">
        <v>-2845888</v>
      </c>
      <c r="U569" s="254" t="s">
        <v>277</v>
      </c>
      <c r="V569" s="256"/>
      <c r="W569" s="256"/>
      <c r="X569" s="256"/>
      <c r="Y569" s="256"/>
      <c r="Z569" s="256"/>
      <c r="AA569" s="256"/>
      <c r="AB569" s="256"/>
      <c r="AC569" s="254" t="s">
        <v>278</v>
      </c>
      <c r="AD569" s="256"/>
      <c r="AE569" s="256"/>
      <c r="AF569" s="256">
        <v>20250831</v>
      </c>
      <c r="AG569" s="256"/>
      <c r="AH569" s="256"/>
      <c r="AI569" s="256">
        <v>20250831</v>
      </c>
      <c r="AJ569" s="256">
        <v>8002514406</v>
      </c>
      <c r="AK569" s="256"/>
      <c r="AL569" s="256"/>
      <c r="AM569" s="254" t="s">
        <v>283</v>
      </c>
      <c r="AO569" s="234" t="s">
        <v>115</v>
      </c>
      <c r="AP569" s="232">
        <f t="shared" si="22"/>
        <v>2845888</v>
      </c>
      <c r="AQ569" s="230">
        <f t="shared" si="20"/>
        <v>8</v>
      </c>
    </row>
    <row r="570" spans="1:43">
      <c r="A570" s="254">
        <v>1</v>
      </c>
      <c r="B570" s="254" t="s">
        <v>273</v>
      </c>
      <c r="C570" s="254" t="s">
        <v>280</v>
      </c>
      <c r="D570" s="255">
        <v>45900</v>
      </c>
      <c r="E570" s="255">
        <v>45900</v>
      </c>
      <c r="F570" s="254" t="s">
        <v>281</v>
      </c>
      <c r="G570" s="254" t="s">
        <v>275</v>
      </c>
      <c r="H570" s="254"/>
      <c r="I570" s="254">
        <v>96</v>
      </c>
      <c r="J570" s="254" t="s">
        <v>276</v>
      </c>
      <c r="K570" s="254">
        <v>1533010002</v>
      </c>
      <c r="L570" s="256"/>
      <c r="M570" s="256"/>
      <c r="N570" s="256"/>
      <c r="O570" s="256"/>
      <c r="P570" s="256"/>
      <c r="Q570" s="256"/>
      <c r="R570" s="256"/>
      <c r="S570" s="256"/>
      <c r="T570" s="256">
        <v>-47450</v>
      </c>
      <c r="U570" s="254" t="s">
        <v>277</v>
      </c>
      <c r="V570" s="256"/>
      <c r="W570" s="256"/>
      <c r="X570" s="256"/>
      <c r="Y570" s="256"/>
      <c r="Z570" s="256"/>
      <c r="AA570" s="256"/>
      <c r="AB570" s="256"/>
      <c r="AC570" s="254" t="s">
        <v>278</v>
      </c>
      <c r="AD570" s="256"/>
      <c r="AE570" s="256"/>
      <c r="AF570" s="256">
        <v>20250831</v>
      </c>
      <c r="AG570" s="256"/>
      <c r="AH570" s="256"/>
      <c r="AI570" s="256">
        <v>20250831</v>
      </c>
      <c r="AJ570" s="256">
        <v>9009142541</v>
      </c>
      <c r="AK570" s="256"/>
      <c r="AL570" s="256"/>
      <c r="AM570" s="254" t="s">
        <v>296</v>
      </c>
      <c r="AO570" s="234">
        <v>0</v>
      </c>
      <c r="AP570" s="232">
        <f t="shared" si="22"/>
        <v>47450</v>
      </c>
      <c r="AQ570" s="230">
        <f t="shared" si="20"/>
        <v>8</v>
      </c>
    </row>
    <row r="571" spans="1:43">
      <c r="A571" s="254">
        <v>1</v>
      </c>
      <c r="B571" s="254" t="s">
        <v>273</v>
      </c>
      <c r="C571" s="254" t="s">
        <v>280</v>
      </c>
      <c r="D571" s="255">
        <v>45900</v>
      </c>
      <c r="E571" s="255">
        <v>45900</v>
      </c>
      <c r="F571" s="254" t="s">
        <v>281</v>
      </c>
      <c r="G571" s="254" t="s">
        <v>275</v>
      </c>
      <c r="H571" s="254"/>
      <c r="I571" s="254">
        <v>97</v>
      </c>
      <c r="J571" s="254" t="s">
        <v>276</v>
      </c>
      <c r="K571" s="254">
        <v>1533010002</v>
      </c>
      <c r="L571" s="256"/>
      <c r="M571" s="256"/>
      <c r="N571" s="256"/>
      <c r="O571" s="256"/>
      <c r="P571" s="256"/>
      <c r="Q571" s="256"/>
      <c r="R571" s="256"/>
      <c r="S571" s="256"/>
      <c r="T571" s="256">
        <v>-94900</v>
      </c>
      <c r="U571" s="254" t="s">
        <v>277</v>
      </c>
      <c r="V571" s="256"/>
      <c r="W571" s="256"/>
      <c r="X571" s="256"/>
      <c r="Y571" s="256"/>
      <c r="Z571" s="256"/>
      <c r="AA571" s="256"/>
      <c r="AB571" s="256"/>
      <c r="AC571" s="254" t="s">
        <v>278</v>
      </c>
      <c r="AD571" s="256"/>
      <c r="AE571" s="256"/>
      <c r="AF571" s="256">
        <v>20250831</v>
      </c>
      <c r="AG571" s="256"/>
      <c r="AH571" s="256"/>
      <c r="AI571" s="256">
        <v>20250831</v>
      </c>
      <c r="AJ571" s="256">
        <v>9001562642</v>
      </c>
      <c r="AK571" s="256"/>
      <c r="AL571" s="256"/>
      <c r="AM571" s="254" t="s">
        <v>316</v>
      </c>
      <c r="AO571" s="234" t="s">
        <v>111</v>
      </c>
      <c r="AP571" s="232">
        <f t="shared" si="22"/>
        <v>94900</v>
      </c>
      <c r="AQ571" s="230">
        <f t="shared" si="20"/>
        <v>8</v>
      </c>
    </row>
    <row r="572" spans="1:43">
      <c r="A572" s="254">
        <v>1</v>
      </c>
      <c r="B572" s="254" t="s">
        <v>273</v>
      </c>
      <c r="C572" s="254" t="s">
        <v>280</v>
      </c>
      <c r="D572" s="255">
        <v>45900</v>
      </c>
      <c r="E572" s="255">
        <v>45900</v>
      </c>
      <c r="F572" s="254" t="s">
        <v>281</v>
      </c>
      <c r="G572" s="254" t="s">
        <v>275</v>
      </c>
      <c r="H572" s="254"/>
      <c r="I572" s="254">
        <v>98</v>
      </c>
      <c r="J572" s="254" t="s">
        <v>276</v>
      </c>
      <c r="K572" s="254">
        <v>1533010002</v>
      </c>
      <c r="L572" s="256"/>
      <c r="M572" s="256"/>
      <c r="N572" s="256"/>
      <c r="O572" s="256"/>
      <c r="P572" s="256"/>
      <c r="Q572" s="256"/>
      <c r="R572" s="256"/>
      <c r="S572" s="256"/>
      <c r="T572" s="256">
        <v>-3139329</v>
      </c>
      <c r="U572" s="254" t="s">
        <v>277</v>
      </c>
      <c r="V572" s="256"/>
      <c r="W572" s="256"/>
      <c r="X572" s="256"/>
      <c r="Y572" s="256"/>
      <c r="Z572" s="256"/>
      <c r="AA572" s="256"/>
      <c r="AB572" s="256"/>
      <c r="AC572" s="254" t="s">
        <v>278</v>
      </c>
      <c r="AD572" s="256"/>
      <c r="AE572" s="256"/>
      <c r="AF572" s="256">
        <v>20250831</v>
      </c>
      <c r="AG572" s="256"/>
      <c r="AH572" s="256"/>
      <c r="AI572" s="256">
        <v>20250831</v>
      </c>
      <c r="AJ572" s="256">
        <v>9001562642</v>
      </c>
      <c r="AK572" s="256"/>
      <c r="AL572" s="256"/>
      <c r="AM572" s="254" t="s">
        <v>316</v>
      </c>
      <c r="AO572" s="234" t="s">
        <v>111</v>
      </c>
      <c r="AP572" s="232">
        <f t="shared" si="22"/>
        <v>3139329</v>
      </c>
      <c r="AQ572" s="230">
        <f t="shared" si="20"/>
        <v>8</v>
      </c>
    </row>
    <row r="573" spans="1:43">
      <c r="A573" s="254">
        <v>1</v>
      </c>
      <c r="B573" s="254" t="s">
        <v>273</v>
      </c>
      <c r="C573" s="254" t="s">
        <v>280</v>
      </c>
      <c r="D573" s="255">
        <v>45900</v>
      </c>
      <c r="E573" s="255">
        <v>45900</v>
      </c>
      <c r="F573" s="254" t="s">
        <v>281</v>
      </c>
      <c r="G573" s="254" t="s">
        <v>275</v>
      </c>
      <c r="H573" s="254"/>
      <c r="I573" s="254">
        <v>99</v>
      </c>
      <c r="J573" s="254" t="s">
        <v>276</v>
      </c>
      <c r="K573" s="254">
        <v>1533010002</v>
      </c>
      <c r="L573" s="256"/>
      <c r="M573" s="256"/>
      <c r="N573" s="256"/>
      <c r="O573" s="256"/>
      <c r="P573" s="256"/>
      <c r="Q573" s="256"/>
      <c r="R573" s="256"/>
      <c r="S573" s="256"/>
      <c r="T573" s="256">
        <v>-3759787</v>
      </c>
      <c r="U573" s="254" t="s">
        <v>277</v>
      </c>
      <c r="V573" s="256"/>
      <c r="W573" s="256"/>
      <c r="X573" s="256"/>
      <c r="Y573" s="256"/>
      <c r="Z573" s="256"/>
      <c r="AA573" s="256"/>
      <c r="AB573" s="256"/>
      <c r="AC573" s="254" t="s">
        <v>278</v>
      </c>
      <c r="AD573" s="256"/>
      <c r="AE573" s="256"/>
      <c r="AF573" s="256">
        <v>20250831</v>
      </c>
      <c r="AG573" s="256"/>
      <c r="AH573" s="256"/>
      <c r="AI573" s="256">
        <v>20250831</v>
      </c>
      <c r="AJ573" s="256">
        <v>8000887022</v>
      </c>
      <c r="AK573" s="256"/>
      <c r="AL573" s="256"/>
      <c r="AM573" s="254" t="s">
        <v>292</v>
      </c>
      <c r="AO573" s="234" t="s">
        <v>108</v>
      </c>
      <c r="AP573" s="232">
        <f t="shared" si="22"/>
        <v>3759787</v>
      </c>
      <c r="AQ573" s="230">
        <f t="shared" si="20"/>
        <v>8</v>
      </c>
    </row>
    <row r="574" spans="1:43">
      <c r="A574" s="254">
        <v>1</v>
      </c>
      <c r="B574" s="254" t="s">
        <v>273</v>
      </c>
      <c r="C574" s="254" t="s">
        <v>280</v>
      </c>
      <c r="D574" s="255">
        <v>45900</v>
      </c>
      <c r="E574" s="255">
        <v>45900</v>
      </c>
      <c r="F574" s="254" t="s">
        <v>281</v>
      </c>
      <c r="G574" s="254" t="s">
        <v>275</v>
      </c>
      <c r="H574" s="254"/>
      <c r="I574" s="254">
        <v>100</v>
      </c>
      <c r="J574" s="254" t="s">
        <v>276</v>
      </c>
      <c r="K574" s="254">
        <v>1533010002</v>
      </c>
      <c r="L574" s="256"/>
      <c r="M574" s="256"/>
      <c r="N574" s="256"/>
      <c r="O574" s="256"/>
      <c r="P574" s="256"/>
      <c r="Q574" s="256"/>
      <c r="R574" s="256"/>
      <c r="S574" s="256"/>
      <c r="T574" s="256">
        <v>-2314661</v>
      </c>
      <c r="U574" s="254" t="s">
        <v>277</v>
      </c>
      <c r="V574" s="256"/>
      <c r="W574" s="256"/>
      <c r="X574" s="256"/>
      <c r="Y574" s="256"/>
      <c r="Z574" s="256"/>
      <c r="AA574" s="256"/>
      <c r="AB574" s="256"/>
      <c r="AC574" s="254" t="s">
        <v>278</v>
      </c>
      <c r="AD574" s="256"/>
      <c r="AE574" s="256"/>
      <c r="AF574" s="256">
        <v>20250831</v>
      </c>
      <c r="AG574" s="256"/>
      <c r="AH574" s="256"/>
      <c r="AI574" s="256">
        <v>20250831</v>
      </c>
      <c r="AJ574" s="256">
        <v>8600021839</v>
      </c>
      <c r="AK574" s="256"/>
      <c r="AL574" s="256"/>
      <c r="AM574" s="254" t="s">
        <v>288</v>
      </c>
      <c r="AO574" s="234">
        <v>0</v>
      </c>
      <c r="AP574" s="232">
        <f t="shared" si="22"/>
        <v>2314661</v>
      </c>
      <c r="AQ574" s="230">
        <f t="shared" si="20"/>
        <v>8</v>
      </c>
    </row>
    <row r="575" spans="1:43">
      <c r="A575" s="254">
        <v>1</v>
      </c>
      <c r="B575" s="254" t="s">
        <v>273</v>
      </c>
      <c r="C575" s="254" t="s">
        <v>280</v>
      </c>
      <c r="D575" s="255">
        <v>45900</v>
      </c>
      <c r="E575" s="255">
        <v>45900</v>
      </c>
      <c r="F575" s="254" t="s">
        <v>281</v>
      </c>
      <c r="G575" s="254" t="s">
        <v>275</v>
      </c>
      <c r="H575" s="254"/>
      <c r="I575" s="254">
        <v>101</v>
      </c>
      <c r="J575" s="254" t="s">
        <v>276</v>
      </c>
      <c r="K575" s="254">
        <v>1533010002</v>
      </c>
      <c r="L575" s="256"/>
      <c r="M575" s="256"/>
      <c r="N575" s="256"/>
      <c r="O575" s="256"/>
      <c r="P575" s="256"/>
      <c r="Q575" s="256"/>
      <c r="R575" s="256"/>
      <c r="S575" s="256"/>
      <c r="T575" s="256">
        <v>-47450</v>
      </c>
      <c r="U575" s="254" t="s">
        <v>277</v>
      </c>
      <c r="V575" s="256"/>
      <c r="W575" s="256"/>
      <c r="X575" s="256"/>
      <c r="Y575" s="256"/>
      <c r="Z575" s="256"/>
      <c r="AA575" s="256"/>
      <c r="AB575" s="256"/>
      <c r="AC575" s="254" t="s">
        <v>278</v>
      </c>
      <c r="AD575" s="256"/>
      <c r="AE575" s="256"/>
      <c r="AF575" s="256">
        <v>20250831</v>
      </c>
      <c r="AG575" s="256"/>
      <c r="AH575" s="256"/>
      <c r="AI575" s="256">
        <v>20250831</v>
      </c>
      <c r="AJ575" s="256">
        <v>8300035647</v>
      </c>
      <c r="AK575" s="256"/>
      <c r="AL575" s="256"/>
      <c r="AM575" s="254" t="s">
        <v>286</v>
      </c>
      <c r="AO575" s="234" t="s">
        <v>109</v>
      </c>
      <c r="AP575" s="232">
        <f t="shared" si="22"/>
        <v>47450</v>
      </c>
      <c r="AQ575" s="230">
        <f t="shared" si="20"/>
        <v>8</v>
      </c>
    </row>
    <row r="576" spans="1:43">
      <c r="A576" s="254">
        <v>1</v>
      </c>
      <c r="B576" s="254" t="s">
        <v>273</v>
      </c>
      <c r="C576" s="254" t="s">
        <v>280</v>
      </c>
      <c r="D576" s="255">
        <v>45900</v>
      </c>
      <c r="E576" s="255">
        <v>45900</v>
      </c>
      <c r="F576" s="254" t="s">
        <v>281</v>
      </c>
      <c r="G576" s="254" t="s">
        <v>275</v>
      </c>
      <c r="H576" s="254"/>
      <c r="I576" s="254">
        <v>102</v>
      </c>
      <c r="J576" s="254" t="s">
        <v>276</v>
      </c>
      <c r="K576" s="254">
        <v>1533010002</v>
      </c>
      <c r="L576" s="256"/>
      <c r="M576" s="256"/>
      <c r="N576" s="256"/>
      <c r="O576" s="256"/>
      <c r="P576" s="256"/>
      <c r="Q576" s="256"/>
      <c r="R576" s="256"/>
      <c r="S576" s="256"/>
      <c r="T576" s="256">
        <v>-708100</v>
      </c>
      <c r="U576" s="254" t="s">
        <v>277</v>
      </c>
      <c r="V576" s="256"/>
      <c r="W576" s="256"/>
      <c r="X576" s="256"/>
      <c r="Y576" s="256"/>
      <c r="Z576" s="256"/>
      <c r="AA576" s="256"/>
      <c r="AB576" s="256"/>
      <c r="AC576" s="254" t="s">
        <v>278</v>
      </c>
      <c r="AD576" s="256"/>
      <c r="AE576" s="256"/>
      <c r="AF576" s="256">
        <v>20250831</v>
      </c>
      <c r="AG576" s="256"/>
      <c r="AH576" s="256"/>
      <c r="AI576" s="256">
        <v>20250831</v>
      </c>
      <c r="AJ576" s="256">
        <v>8000887022</v>
      </c>
      <c r="AK576" s="256"/>
      <c r="AL576" s="256"/>
      <c r="AM576" s="254" t="s">
        <v>292</v>
      </c>
      <c r="AO576" s="234" t="s">
        <v>108</v>
      </c>
      <c r="AP576" s="232">
        <f t="shared" si="22"/>
        <v>708100</v>
      </c>
      <c r="AQ576" s="230">
        <f t="shared" si="20"/>
        <v>8</v>
      </c>
    </row>
    <row r="577" spans="1:43">
      <c r="A577" s="254">
        <v>1</v>
      </c>
      <c r="B577" s="254" t="s">
        <v>273</v>
      </c>
      <c r="C577" s="254" t="s">
        <v>280</v>
      </c>
      <c r="D577" s="255">
        <v>45900</v>
      </c>
      <c r="E577" s="255">
        <v>45900</v>
      </c>
      <c r="F577" s="254" t="s">
        <v>281</v>
      </c>
      <c r="G577" s="254" t="s">
        <v>275</v>
      </c>
      <c r="H577" s="254"/>
      <c r="I577" s="254">
        <v>103</v>
      </c>
      <c r="J577" s="254" t="s">
        <v>276</v>
      </c>
      <c r="K577" s="254">
        <v>1533010002</v>
      </c>
      <c r="L577" s="256"/>
      <c r="M577" s="256"/>
      <c r="N577" s="256"/>
      <c r="O577" s="256"/>
      <c r="P577" s="256"/>
      <c r="Q577" s="256"/>
      <c r="R577" s="256"/>
      <c r="S577" s="256"/>
      <c r="T577" s="256">
        <v>-47450</v>
      </c>
      <c r="U577" s="254" t="s">
        <v>277</v>
      </c>
      <c r="V577" s="256"/>
      <c r="W577" s="256"/>
      <c r="X577" s="256"/>
      <c r="Y577" s="256"/>
      <c r="Z577" s="256"/>
      <c r="AA577" s="256"/>
      <c r="AB577" s="256"/>
      <c r="AC577" s="254" t="s">
        <v>278</v>
      </c>
      <c r="AD577" s="256"/>
      <c r="AE577" s="256"/>
      <c r="AF577" s="256">
        <v>20250831</v>
      </c>
      <c r="AG577" s="256"/>
      <c r="AH577" s="256"/>
      <c r="AI577" s="256">
        <v>20250831</v>
      </c>
      <c r="AJ577" s="256">
        <v>9015437615</v>
      </c>
      <c r="AK577" s="256"/>
      <c r="AL577" s="256"/>
      <c r="AM577" s="254" t="s">
        <v>327</v>
      </c>
      <c r="AO577" s="234">
        <v>0</v>
      </c>
      <c r="AP577" s="232">
        <f t="shared" si="22"/>
        <v>47450</v>
      </c>
      <c r="AQ577" s="230">
        <f t="shared" si="20"/>
        <v>8</v>
      </c>
    </row>
    <row r="578" spans="1:43">
      <c r="A578" s="254">
        <v>1</v>
      </c>
      <c r="B578" s="254" t="s">
        <v>273</v>
      </c>
      <c r="C578" s="254" t="s">
        <v>280</v>
      </c>
      <c r="D578" s="255">
        <v>45900</v>
      </c>
      <c r="E578" s="255">
        <v>45900</v>
      </c>
      <c r="F578" s="254" t="s">
        <v>281</v>
      </c>
      <c r="G578" s="254" t="s">
        <v>275</v>
      </c>
      <c r="H578" s="254"/>
      <c r="I578" s="254">
        <v>104</v>
      </c>
      <c r="J578" s="254" t="s">
        <v>276</v>
      </c>
      <c r="K578" s="254">
        <v>1533010002</v>
      </c>
      <c r="L578" s="256"/>
      <c r="M578" s="256"/>
      <c r="N578" s="256"/>
      <c r="O578" s="256"/>
      <c r="P578" s="256"/>
      <c r="Q578" s="256"/>
      <c r="R578" s="256"/>
      <c r="S578" s="256"/>
      <c r="T578" s="256">
        <v>-4096197</v>
      </c>
      <c r="U578" s="254" t="s">
        <v>277</v>
      </c>
      <c r="V578" s="256"/>
      <c r="W578" s="256"/>
      <c r="X578" s="256"/>
      <c r="Y578" s="256"/>
      <c r="Z578" s="256"/>
      <c r="AA578" s="256"/>
      <c r="AB578" s="256"/>
      <c r="AC578" s="254" t="s">
        <v>278</v>
      </c>
      <c r="AD578" s="256"/>
      <c r="AE578" s="256"/>
      <c r="AF578" s="256">
        <v>20250831</v>
      </c>
      <c r="AG578" s="256"/>
      <c r="AH578" s="256"/>
      <c r="AI578" s="256">
        <v>20250831</v>
      </c>
      <c r="AJ578" s="256">
        <v>8000887022</v>
      </c>
      <c r="AK578" s="256"/>
      <c r="AL578" s="256"/>
      <c r="AM578" s="254" t="s">
        <v>292</v>
      </c>
      <c r="AO578" s="234" t="s">
        <v>108</v>
      </c>
      <c r="AP578" s="232">
        <f t="shared" si="22"/>
        <v>4096197</v>
      </c>
      <c r="AQ578" s="230">
        <f t="shared" si="20"/>
        <v>8</v>
      </c>
    </row>
    <row r="579" spans="1:43">
      <c r="A579" s="254">
        <v>1</v>
      </c>
      <c r="B579" s="254" t="s">
        <v>273</v>
      </c>
      <c r="C579" s="254" t="s">
        <v>280</v>
      </c>
      <c r="D579" s="255">
        <v>45900</v>
      </c>
      <c r="E579" s="255">
        <v>45900</v>
      </c>
      <c r="F579" s="254" t="s">
        <v>281</v>
      </c>
      <c r="G579" s="254" t="s">
        <v>275</v>
      </c>
      <c r="H579" s="254"/>
      <c r="I579" s="254">
        <v>105</v>
      </c>
      <c r="J579" s="254" t="s">
        <v>276</v>
      </c>
      <c r="K579" s="254">
        <v>1533010002</v>
      </c>
      <c r="L579" s="256"/>
      <c r="M579" s="256"/>
      <c r="N579" s="256"/>
      <c r="O579" s="256"/>
      <c r="P579" s="256"/>
      <c r="Q579" s="256"/>
      <c r="R579" s="256"/>
      <c r="S579" s="256"/>
      <c r="T579" s="256">
        <v>-2277600</v>
      </c>
      <c r="U579" s="254" t="s">
        <v>277</v>
      </c>
      <c r="V579" s="256"/>
      <c r="W579" s="256"/>
      <c r="X579" s="256"/>
      <c r="Y579" s="256"/>
      <c r="Z579" s="256"/>
      <c r="AA579" s="256"/>
      <c r="AB579" s="256"/>
      <c r="AC579" s="254" t="s">
        <v>278</v>
      </c>
      <c r="AD579" s="256"/>
      <c r="AE579" s="256"/>
      <c r="AF579" s="256">
        <v>20250831</v>
      </c>
      <c r="AG579" s="256"/>
      <c r="AH579" s="256"/>
      <c r="AI579" s="256">
        <v>20250831</v>
      </c>
      <c r="AJ579" s="256">
        <v>8600669427</v>
      </c>
      <c r="AK579" s="256"/>
      <c r="AL579" s="256"/>
      <c r="AM579" s="254" t="s">
        <v>289</v>
      </c>
      <c r="AO579" s="234" t="s">
        <v>101</v>
      </c>
      <c r="AP579" s="232">
        <f t="shared" si="22"/>
        <v>2277600</v>
      </c>
      <c r="AQ579" s="230">
        <f t="shared" ref="AQ579:AQ618" si="23">+MONTH(D579)</f>
        <v>8</v>
      </c>
    </row>
    <row r="580" spans="1:43">
      <c r="A580" s="254">
        <v>1</v>
      </c>
      <c r="B580" s="254" t="s">
        <v>273</v>
      </c>
      <c r="C580" s="254" t="s">
        <v>280</v>
      </c>
      <c r="D580" s="255">
        <v>45900</v>
      </c>
      <c r="E580" s="255">
        <v>45900</v>
      </c>
      <c r="F580" s="254" t="s">
        <v>281</v>
      </c>
      <c r="G580" s="254" t="s">
        <v>275</v>
      </c>
      <c r="H580" s="254"/>
      <c r="I580" s="254">
        <v>106</v>
      </c>
      <c r="J580" s="254" t="s">
        <v>276</v>
      </c>
      <c r="K580" s="254">
        <v>1533010002</v>
      </c>
      <c r="L580" s="256"/>
      <c r="M580" s="256"/>
      <c r="N580" s="256"/>
      <c r="O580" s="256"/>
      <c r="P580" s="256"/>
      <c r="Q580" s="256"/>
      <c r="R580" s="256"/>
      <c r="S580" s="256"/>
      <c r="T580" s="256">
        <v>-2032876</v>
      </c>
      <c r="U580" s="254" t="s">
        <v>277</v>
      </c>
      <c r="V580" s="256"/>
      <c r="W580" s="256"/>
      <c r="X580" s="256"/>
      <c r="Y580" s="256"/>
      <c r="Z580" s="256"/>
      <c r="AA580" s="256"/>
      <c r="AB580" s="256"/>
      <c r="AC580" s="254" t="s">
        <v>278</v>
      </c>
      <c r="AD580" s="256"/>
      <c r="AE580" s="256"/>
      <c r="AF580" s="256">
        <v>20250831</v>
      </c>
      <c r="AG580" s="256"/>
      <c r="AH580" s="256"/>
      <c r="AI580" s="256">
        <v>20250831</v>
      </c>
      <c r="AJ580" s="256">
        <v>8002514406</v>
      </c>
      <c r="AK580" s="256"/>
      <c r="AL580" s="256"/>
      <c r="AM580" s="254" t="s">
        <v>283</v>
      </c>
      <c r="AO580" s="234" t="s">
        <v>115</v>
      </c>
      <c r="AP580" s="232">
        <f t="shared" si="22"/>
        <v>2032876</v>
      </c>
      <c r="AQ580" s="230">
        <f t="shared" si="23"/>
        <v>8</v>
      </c>
    </row>
    <row r="581" spans="1:43">
      <c r="A581" s="254">
        <v>1</v>
      </c>
      <c r="B581" s="254" t="s">
        <v>273</v>
      </c>
      <c r="C581" s="254" t="s">
        <v>280</v>
      </c>
      <c r="D581" s="255">
        <v>45900</v>
      </c>
      <c r="E581" s="255">
        <v>45900</v>
      </c>
      <c r="F581" s="254" t="s">
        <v>281</v>
      </c>
      <c r="G581" s="254" t="s">
        <v>275</v>
      </c>
      <c r="H581" s="254"/>
      <c r="I581" s="254">
        <v>108</v>
      </c>
      <c r="J581" s="254" t="s">
        <v>276</v>
      </c>
      <c r="K581" s="254">
        <v>1533010002</v>
      </c>
      <c r="L581" s="256"/>
      <c r="M581" s="256"/>
      <c r="N581" s="256"/>
      <c r="O581" s="256"/>
      <c r="P581" s="256"/>
      <c r="Q581" s="256"/>
      <c r="R581" s="256"/>
      <c r="S581" s="256"/>
      <c r="T581" s="256">
        <v>-680288</v>
      </c>
      <c r="U581" s="254" t="s">
        <v>277</v>
      </c>
      <c r="V581" s="256"/>
      <c r="W581" s="256"/>
      <c r="X581" s="256"/>
      <c r="Y581" s="256"/>
      <c r="Z581" s="256"/>
      <c r="AA581" s="256"/>
      <c r="AB581" s="256"/>
      <c r="AC581" s="254" t="s">
        <v>278</v>
      </c>
      <c r="AD581" s="256"/>
      <c r="AE581" s="256"/>
      <c r="AF581" s="256">
        <v>20250831</v>
      </c>
      <c r="AG581" s="256"/>
      <c r="AH581" s="256"/>
      <c r="AI581" s="256">
        <v>20250831</v>
      </c>
      <c r="AJ581" s="256">
        <v>8002492410</v>
      </c>
      <c r="AK581" s="256"/>
      <c r="AL581" s="256"/>
      <c r="AM581" s="254" t="s">
        <v>297</v>
      </c>
      <c r="AO581" s="234">
        <v>0</v>
      </c>
      <c r="AP581" s="232">
        <f t="shared" si="22"/>
        <v>680288</v>
      </c>
      <c r="AQ581" s="230">
        <f t="shared" si="23"/>
        <v>8</v>
      </c>
    </row>
    <row r="582" spans="1:43">
      <c r="A582" s="254">
        <v>1</v>
      </c>
      <c r="B582" s="254" t="s">
        <v>273</v>
      </c>
      <c r="C582" s="254" t="s">
        <v>280</v>
      </c>
      <c r="D582" s="255">
        <v>45900</v>
      </c>
      <c r="E582" s="255">
        <v>45900</v>
      </c>
      <c r="F582" s="254" t="s">
        <v>281</v>
      </c>
      <c r="G582" s="254" t="s">
        <v>275</v>
      </c>
      <c r="H582" s="254"/>
      <c r="I582" s="254">
        <v>109</v>
      </c>
      <c r="J582" s="254" t="s">
        <v>276</v>
      </c>
      <c r="K582" s="254">
        <v>1533010002</v>
      </c>
      <c r="L582" s="256"/>
      <c r="M582" s="256"/>
      <c r="N582" s="256"/>
      <c r="O582" s="256"/>
      <c r="P582" s="256"/>
      <c r="Q582" s="256"/>
      <c r="R582" s="256"/>
      <c r="S582" s="256"/>
      <c r="T582" s="256">
        <v>-713006</v>
      </c>
      <c r="U582" s="254" t="s">
        <v>277</v>
      </c>
      <c r="V582" s="256"/>
      <c r="W582" s="256"/>
      <c r="X582" s="256"/>
      <c r="Y582" s="256"/>
      <c r="Z582" s="256"/>
      <c r="AA582" s="256"/>
      <c r="AB582" s="256"/>
      <c r="AC582" s="254" t="s">
        <v>278</v>
      </c>
      <c r="AD582" s="256"/>
      <c r="AE582" s="256"/>
      <c r="AF582" s="256">
        <v>20250831</v>
      </c>
      <c r="AG582" s="256"/>
      <c r="AH582" s="256"/>
      <c r="AI582" s="256">
        <v>20250831</v>
      </c>
      <c r="AJ582" s="256">
        <v>9009142541</v>
      </c>
      <c r="AK582" s="256"/>
      <c r="AL582" s="256"/>
      <c r="AM582" s="254" t="s">
        <v>296</v>
      </c>
      <c r="AO582" s="234">
        <v>0</v>
      </c>
      <c r="AP582" s="232">
        <f t="shared" si="22"/>
        <v>713006</v>
      </c>
      <c r="AQ582" s="230">
        <f t="shared" si="23"/>
        <v>8</v>
      </c>
    </row>
    <row r="583" spans="1:43">
      <c r="A583" s="254">
        <v>1</v>
      </c>
      <c r="B583" s="254" t="s">
        <v>273</v>
      </c>
      <c r="C583" s="254" t="s">
        <v>280</v>
      </c>
      <c r="D583" s="255">
        <v>45900</v>
      </c>
      <c r="E583" s="255">
        <v>45900</v>
      </c>
      <c r="F583" s="254" t="s">
        <v>281</v>
      </c>
      <c r="G583" s="254" t="s">
        <v>275</v>
      </c>
      <c r="H583" s="254"/>
      <c r="I583" s="254">
        <v>110</v>
      </c>
      <c r="J583" s="254" t="s">
        <v>276</v>
      </c>
      <c r="K583" s="254">
        <v>1533010002</v>
      </c>
      <c r="L583" s="256"/>
      <c r="M583" s="256"/>
      <c r="N583" s="256"/>
      <c r="O583" s="256"/>
      <c r="P583" s="256"/>
      <c r="Q583" s="256"/>
      <c r="R583" s="256"/>
      <c r="S583" s="256"/>
      <c r="T583" s="256">
        <v>-901550</v>
      </c>
      <c r="U583" s="254" t="s">
        <v>277</v>
      </c>
      <c r="V583" s="256"/>
      <c r="W583" s="256"/>
      <c r="X583" s="256"/>
      <c r="Y583" s="256"/>
      <c r="Z583" s="256"/>
      <c r="AA583" s="256"/>
      <c r="AB583" s="256"/>
      <c r="AC583" s="254" t="s">
        <v>278</v>
      </c>
      <c r="AD583" s="256"/>
      <c r="AE583" s="256"/>
      <c r="AF583" s="256">
        <v>20250831</v>
      </c>
      <c r="AG583" s="256"/>
      <c r="AH583" s="256"/>
      <c r="AI583" s="256">
        <v>20250831</v>
      </c>
      <c r="AJ583" s="256">
        <v>8600669427</v>
      </c>
      <c r="AK583" s="256"/>
      <c r="AL583" s="256"/>
      <c r="AM583" s="254" t="s">
        <v>289</v>
      </c>
      <c r="AO583" s="234" t="s">
        <v>101</v>
      </c>
      <c r="AP583" s="232">
        <f t="shared" si="22"/>
        <v>901550</v>
      </c>
      <c r="AQ583" s="230">
        <f t="shared" si="23"/>
        <v>8</v>
      </c>
    </row>
    <row r="584" spans="1:43">
      <c r="A584" s="254">
        <v>1</v>
      </c>
      <c r="B584" s="254" t="s">
        <v>273</v>
      </c>
      <c r="C584" s="254" t="s">
        <v>280</v>
      </c>
      <c r="D584" s="255">
        <v>45900</v>
      </c>
      <c r="E584" s="255">
        <v>45900</v>
      </c>
      <c r="F584" s="254" t="s">
        <v>281</v>
      </c>
      <c r="G584" s="254" t="s">
        <v>275</v>
      </c>
      <c r="H584" s="254"/>
      <c r="I584" s="254">
        <v>111</v>
      </c>
      <c r="J584" s="254" t="s">
        <v>276</v>
      </c>
      <c r="K584" s="254">
        <v>1533010002</v>
      </c>
      <c r="L584" s="256"/>
      <c r="M584" s="256"/>
      <c r="N584" s="256"/>
      <c r="O584" s="256"/>
      <c r="P584" s="256"/>
      <c r="Q584" s="256"/>
      <c r="R584" s="256"/>
      <c r="S584" s="256"/>
      <c r="T584" s="256">
        <v>-8261292</v>
      </c>
      <c r="U584" s="254" t="s">
        <v>277</v>
      </c>
      <c r="V584" s="256"/>
      <c r="W584" s="256"/>
      <c r="X584" s="256"/>
      <c r="Y584" s="256"/>
      <c r="Z584" s="256"/>
      <c r="AA584" s="256"/>
      <c r="AB584" s="256"/>
      <c r="AC584" s="254" t="s">
        <v>278</v>
      </c>
      <c r="AD584" s="256"/>
      <c r="AE584" s="256"/>
      <c r="AF584" s="256">
        <v>20250831</v>
      </c>
      <c r="AG584" s="256"/>
      <c r="AH584" s="256"/>
      <c r="AI584" s="256">
        <v>20250831</v>
      </c>
      <c r="AJ584" s="256">
        <v>9001562642</v>
      </c>
      <c r="AK584" s="256"/>
      <c r="AL584" s="256"/>
      <c r="AM584" s="254" t="s">
        <v>316</v>
      </c>
      <c r="AO584" s="234" t="s">
        <v>111</v>
      </c>
      <c r="AP584" s="232">
        <f t="shared" si="22"/>
        <v>8261292</v>
      </c>
      <c r="AQ584" s="230">
        <f t="shared" si="23"/>
        <v>8</v>
      </c>
    </row>
    <row r="585" spans="1:43">
      <c r="A585" s="254">
        <v>1</v>
      </c>
      <c r="B585" s="254" t="s">
        <v>273</v>
      </c>
      <c r="C585" s="254" t="s">
        <v>280</v>
      </c>
      <c r="D585" s="255">
        <v>45900</v>
      </c>
      <c r="E585" s="255">
        <v>45900</v>
      </c>
      <c r="F585" s="254" t="s">
        <v>281</v>
      </c>
      <c r="G585" s="254" t="s">
        <v>275</v>
      </c>
      <c r="H585" s="254"/>
      <c r="I585" s="254">
        <v>112</v>
      </c>
      <c r="J585" s="254" t="s">
        <v>276</v>
      </c>
      <c r="K585" s="254">
        <v>1533010002</v>
      </c>
      <c r="L585" s="256"/>
      <c r="M585" s="256"/>
      <c r="N585" s="256"/>
      <c r="O585" s="256"/>
      <c r="P585" s="256"/>
      <c r="Q585" s="256"/>
      <c r="R585" s="256"/>
      <c r="S585" s="256"/>
      <c r="T585" s="256">
        <v>-4002194</v>
      </c>
      <c r="U585" s="254" t="s">
        <v>277</v>
      </c>
      <c r="V585" s="256"/>
      <c r="W585" s="256"/>
      <c r="X585" s="256"/>
      <c r="Y585" s="256"/>
      <c r="Z585" s="256"/>
      <c r="AA585" s="256"/>
      <c r="AB585" s="256"/>
      <c r="AC585" s="254" t="s">
        <v>278</v>
      </c>
      <c r="AD585" s="256"/>
      <c r="AE585" s="256"/>
      <c r="AF585" s="256">
        <v>20250831</v>
      </c>
      <c r="AG585" s="256"/>
      <c r="AH585" s="256"/>
      <c r="AI585" s="256">
        <v>20250831</v>
      </c>
      <c r="AJ585" s="256">
        <v>9001562642</v>
      </c>
      <c r="AK585" s="256"/>
      <c r="AL585" s="256"/>
      <c r="AM585" s="254" t="s">
        <v>316</v>
      </c>
      <c r="AO585" s="234" t="s">
        <v>111</v>
      </c>
      <c r="AP585" s="232">
        <f t="shared" si="22"/>
        <v>4002194</v>
      </c>
      <c r="AQ585" s="230">
        <f t="shared" si="23"/>
        <v>8</v>
      </c>
    </row>
    <row r="586" spans="1:43">
      <c r="A586" s="254">
        <v>1</v>
      </c>
      <c r="B586" s="254" t="s">
        <v>273</v>
      </c>
      <c r="C586" s="254" t="s">
        <v>280</v>
      </c>
      <c r="D586" s="255">
        <v>45900</v>
      </c>
      <c r="E586" s="255">
        <v>45900</v>
      </c>
      <c r="F586" s="254" t="s">
        <v>281</v>
      </c>
      <c r="G586" s="254" t="s">
        <v>275</v>
      </c>
      <c r="H586" s="254"/>
      <c r="I586" s="254">
        <v>113</v>
      </c>
      <c r="J586" s="254" t="s">
        <v>276</v>
      </c>
      <c r="K586" s="254">
        <v>1533010002</v>
      </c>
      <c r="L586" s="256"/>
      <c r="M586" s="256"/>
      <c r="N586" s="256"/>
      <c r="O586" s="256"/>
      <c r="P586" s="256"/>
      <c r="Q586" s="256"/>
      <c r="R586" s="256"/>
      <c r="S586" s="256"/>
      <c r="T586" s="256">
        <v>-2006171</v>
      </c>
      <c r="U586" s="254" t="s">
        <v>277</v>
      </c>
      <c r="V586" s="256"/>
      <c r="W586" s="256"/>
      <c r="X586" s="256"/>
      <c r="Y586" s="256"/>
      <c r="Z586" s="256"/>
      <c r="AA586" s="256"/>
      <c r="AB586" s="256"/>
      <c r="AC586" s="254" t="s">
        <v>278</v>
      </c>
      <c r="AD586" s="256"/>
      <c r="AE586" s="256"/>
      <c r="AF586" s="256">
        <v>20250831</v>
      </c>
      <c r="AG586" s="256"/>
      <c r="AH586" s="256"/>
      <c r="AI586" s="256">
        <v>20250831</v>
      </c>
      <c r="AJ586" s="256">
        <v>8300035647</v>
      </c>
      <c r="AK586" s="256"/>
      <c r="AL586" s="256"/>
      <c r="AM586" s="254" t="s">
        <v>286</v>
      </c>
      <c r="AO586" s="234" t="s">
        <v>109</v>
      </c>
      <c r="AP586" s="232">
        <f t="shared" si="22"/>
        <v>2006171</v>
      </c>
      <c r="AQ586" s="230">
        <f t="shared" si="23"/>
        <v>8</v>
      </c>
    </row>
    <row r="587" spans="1:43">
      <c r="A587" s="254">
        <v>1</v>
      </c>
      <c r="B587" s="254" t="s">
        <v>273</v>
      </c>
      <c r="C587" s="254" t="s">
        <v>280</v>
      </c>
      <c r="D587" s="255">
        <v>45900</v>
      </c>
      <c r="E587" s="255">
        <v>45900</v>
      </c>
      <c r="F587" s="254" t="s">
        <v>281</v>
      </c>
      <c r="G587" s="254" t="s">
        <v>275</v>
      </c>
      <c r="H587" s="254"/>
      <c r="I587" s="254">
        <v>114</v>
      </c>
      <c r="J587" s="254" t="s">
        <v>276</v>
      </c>
      <c r="K587" s="254">
        <v>1533010002</v>
      </c>
      <c r="L587" s="256"/>
      <c r="M587" s="256"/>
      <c r="N587" s="256"/>
      <c r="O587" s="256"/>
      <c r="P587" s="256"/>
      <c r="Q587" s="256"/>
      <c r="R587" s="256"/>
      <c r="S587" s="256"/>
      <c r="T587" s="256">
        <v>-55896</v>
      </c>
      <c r="U587" s="254" t="s">
        <v>277</v>
      </c>
      <c r="V587" s="256"/>
      <c r="W587" s="256"/>
      <c r="X587" s="256"/>
      <c r="Y587" s="256"/>
      <c r="Z587" s="256"/>
      <c r="AA587" s="256"/>
      <c r="AB587" s="256"/>
      <c r="AC587" s="254" t="s">
        <v>278</v>
      </c>
      <c r="AD587" s="256"/>
      <c r="AE587" s="256"/>
      <c r="AF587" s="256">
        <v>20250831</v>
      </c>
      <c r="AG587" s="256"/>
      <c r="AH587" s="256"/>
      <c r="AI587" s="256">
        <v>20250831</v>
      </c>
      <c r="AJ587" s="256">
        <v>8600669427</v>
      </c>
      <c r="AK587" s="256"/>
      <c r="AL587" s="256"/>
      <c r="AM587" s="254" t="s">
        <v>289</v>
      </c>
      <c r="AO587" s="234" t="s">
        <v>101</v>
      </c>
      <c r="AP587" s="232">
        <f t="shared" si="22"/>
        <v>55896</v>
      </c>
      <c r="AQ587" s="230">
        <f t="shared" si="23"/>
        <v>8</v>
      </c>
    </row>
    <row r="588" spans="1:43">
      <c r="A588" s="254">
        <v>1</v>
      </c>
      <c r="B588" s="254" t="s">
        <v>273</v>
      </c>
      <c r="C588" s="254" t="s">
        <v>280</v>
      </c>
      <c r="D588" s="255">
        <v>45900</v>
      </c>
      <c r="E588" s="255">
        <v>45900</v>
      </c>
      <c r="F588" s="254" t="s">
        <v>281</v>
      </c>
      <c r="G588" s="254" t="s">
        <v>275</v>
      </c>
      <c r="H588" s="254"/>
      <c r="I588" s="254">
        <v>115</v>
      </c>
      <c r="J588" s="254" t="s">
        <v>276</v>
      </c>
      <c r="K588" s="254">
        <v>1533010002</v>
      </c>
      <c r="L588" s="256"/>
      <c r="M588" s="256"/>
      <c r="N588" s="256"/>
      <c r="O588" s="256"/>
      <c r="P588" s="256"/>
      <c r="Q588" s="256"/>
      <c r="R588" s="256"/>
      <c r="S588" s="256"/>
      <c r="T588" s="256">
        <v>-1411196</v>
      </c>
      <c r="U588" s="254" t="s">
        <v>277</v>
      </c>
      <c r="V588" s="256"/>
      <c r="W588" s="256"/>
      <c r="X588" s="256"/>
      <c r="Y588" s="256"/>
      <c r="Z588" s="256"/>
      <c r="AA588" s="256"/>
      <c r="AB588" s="256"/>
      <c r="AC588" s="254" t="s">
        <v>278</v>
      </c>
      <c r="AD588" s="256"/>
      <c r="AE588" s="256"/>
      <c r="AF588" s="256">
        <v>20250831</v>
      </c>
      <c r="AG588" s="256"/>
      <c r="AH588" s="256"/>
      <c r="AI588" s="256">
        <v>20250831</v>
      </c>
      <c r="AJ588" s="256">
        <v>8000887022</v>
      </c>
      <c r="AK588" s="256"/>
      <c r="AL588" s="256"/>
      <c r="AM588" s="254" t="s">
        <v>292</v>
      </c>
      <c r="AO588" s="234" t="s">
        <v>108</v>
      </c>
      <c r="AP588" s="232">
        <f t="shared" si="22"/>
        <v>1411196</v>
      </c>
      <c r="AQ588" s="230">
        <f t="shared" si="23"/>
        <v>8</v>
      </c>
    </row>
    <row r="589" spans="1:43">
      <c r="A589" s="254">
        <v>1</v>
      </c>
      <c r="B589" s="254" t="s">
        <v>273</v>
      </c>
      <c r="C589" s="254" t="s">
        <v>280</v>
      </c>
      <c r="D589" s="255">
        <v>45900</v>
      </c>
      <c r="E589" s="255">
        <v>45900</v>
      </c>
      <c r="F589" s="254" t="s">
        <v>281</v>
      </c>
      <c r="G589" s="254" t="s">
        <v>275</v>
      </c>
      <c r="H589" s="254"/>
      <c r="I589" s="254">
        <v>116</v>
      </c>
      <c r="J589" s="254" t="s">
        <v>276</v>
      </c>
      <c r="K589" s="254">
        <v>1533010002</v>
      </c>
      <c r="L589" s="256"/>
      <c r="M589" s="256"/>
      <c r="N589" s="256"/>
      <c r="O589" s="256"/>
      <c r="P589" s="256"/>
      <c r="Q589" s="256"/>
      <c r="R589" s="256"/>
      <c r="S589" s="256"/>
      <c r="T589" s="256">
        <v>-1613300</v>
      </c>
      <c r="U589" s="254" t="s">
        <v>277</v>
      </c>
      <c r="V589" s="256"/>
      <c r="W589" s="256"/>
      <c r="X589" s="256"/>
      <c r="Y589" s="256"/>
      <c r="Z589" s="256"/>
      <c r="AA589" s="256"/>
      <c r="AB589" s="256"/>
      <c r="AC589" s="254" t="s">
        <v>278</v>
      </c>
      <c r="AD589" s="256"/>
      <c r="AE589" s="256"/>
      <c r="AF589" s="256">
        <v>20250831</v>
      </c>
      <c r="AG589" s="256"/>
      <c r="AH589" s="256"/>
      <c r="AI589" s="256">
        <v>20250831</v>
      </c>
      <c r="AJ589" s="256">
        <v>8002514406</v>
      </c>
      <c r="AK589" s="256"/>
      <c r="AL589" s="256"/>
      <c r="AM589" s="254" t="s">
        <v>283</v>
      </c>
      <c r="AO589" s="234" t="s">
        <v>115</v>
      </c>
      <c r="AP589" s="232">
        <f t="shared" si="22"/>
        <v>1613300</v>
      </c>
      <c r="AQ589" s="230">
        <f t="shared" si="23"/>
        <v>8</v>
      </c>
    </row>
    <row r="590" spans="1:43">
      <c r="A590" s="254">
        <v>1</v>
      </c>
      <c r="B590" s="254" t="s">
        <v>273</v>
      </c>
      <c r="C590" s="254" t="s">
        <v>280</v>
      </c>
      <c r="D590" s="255">
        <v>45900</v>
      </c>
      <c r="E590" s="255">
        <v>45900</v>
      </c>
      <c r="F590" s="254" t="s">
        <v>281</v>
      </c>
      <c r="G590" s="254" t="s">
        <v>275</v>
      </c>
      <c r="H590" s="254"/>
      <c r="I590" s="254">
        <v>117</v>
      </c>
      <c r="J590" s="254" t="s">
        <v>276</v>
      </c>
      <c r="K590" s="254">
        <v>1533010002</v>
      </c>
      <c r="L590" s="256"/>
      <c r="M590" s="256"/>
      <c r="N590" s="256"/>
      <c r="O590" s="256"/>
      <c r="P590" s="256"/>
      <c r="Q590" s="256"/>
      <c r="R590" s="256"/>
      <c r="S590" s="256"/>
      <c r="T590" s="256">
        <v>-2098072</v>
      </c>
      <c r="U590" s="254" t="s">
        <v>277</v>
      </c>
      <c r="V590" s="256"/>
      <c r="W590" s="256"/>
      <c r="X590" s="256"/>
      <c r="Y590" s="256"/>
      <c r="Z590" s="256"/>
      <c r="AA590" s="256"/>
      <c r="AB590" s="256"/>
      <c r="AC590" s="254" t="s">
        <v>278</v>
      </c>
      <c r="AD590" s="256"/>
      <c r="AE590" s="256"/>
      <c r="AF590" s="256">
        <v>20250831</v>
      </c>
      <c r="AG590" s="256"/>
      <c r="AH590" s="256"/>
      <c r="AI590" s="256">
        <v>20250831</v>
      </c>
      <c r="AJ590" s="256">
        <v>8000887022</v>
      </c>
      <c r="AK590" s="256"/>
      <c r="AL590" s="256"/>
      <c r="AM590" s="254" t="s">
        <v>292</v>
      </c>
      <c r="AO590" s="234" t="s">
        <v>108</v>
      </c>
      <c r="AP590" s="232">
        <f t="shared" si="22"/>
        <v>2098072</v>
      </c>
      <c r="AQ590" s="230">
        <f t="shared" si="23"/>
        <v>8</v>
      </c>
    </row>
    <row r="591" spans="1:43">
      <c r="A591" s="254">
        <v>1</v>
      </c>
      <c r="B591" s="254" t="s">
        <v>273</v>
      </c>
      <c r="C591" s="254" t="s">
        <v>280</v>
      </c>
      <c r="D591" s="255">
        <v>45900</v>
      </c>
      <c r="E591" s="255">
        <v>45900</v>
      </c>
      <c r="F591" s="254" t="s">
        <v>281</v>
      </c>
      <c r="G591" s="254" t="s">
        <v>275</v>
      </c>
      <c r="H591" s="254"/>
      <c r="I591" s="254">
        <v>118</v>
      </c>
      <c r="J591" s="254" t="s">
        <v>276</v>
      </c>
      <c r="K591" s="254">
        <v>1533010002</v>
      </c>
      <c r="L591" s="256"/>
      <c r="M591" s="256"/>
      <c r="N591" s="256"/>
      <c r="O591" s="256"/>
      <c r="P591" s="256"/>
      <c r="Q591" s="256"/>
      <c r="R591" s="256"/>
      <c r="S591" s="256"/>
      <c r="T591" s="256">
        <v>-152525</v>
      </c>
      <c r="U591" s="254" t="s">
        <v>277</v>
      </c>
      <c r="V591" s="256"/>
      <c r="W591" s="256"/>
      <c r="X591" s="256"/>
      <c r="Y591" s="256"/>
      <c r="Z591" s="256"/>
      <c r="AA591" s="256"/>
      <c r="AB591" s="256"/>
      <c r="AC591" s="254" t="s">
        <v>278</v>
      </c>
      <c r="AD591" s="256"/>
      <c r="AE591" s="256"/>
      <c r="AF591" s="256">
        <v>20250831</v>
      </c>
      <c r="AG591" s="256"/>
      <c r="AH591" s="256"/>
      <c r="AI591" s="256">
        <v>20250831</v>
      </c>
      <c r="AJ591" s="256">
        <v>8002514406</v>
      </c>
      <c r="AK591" s="256"/>
      <c r="AL591" s="256"/>
      <c r="AM591" s="254" t="s">
        <v>283</v>
      </c>
      <c r="AO591" s="234" t="s">
        <v>115</v>
      </c>
      <c r="AP591" s="232">
        <f t="shared" si="22"/>
        <v>152525</v>
      </c>
      <c r="AQ591" s="230">
        <f t="shared" si="23"/>
        <v>8</v>
      </c>
    </row>
    <row r="592" spans="1:43">
      <c r="A592" s="254">
        <v>1</v>
      </c>
      <c r="B592" s="254" t="s">
        <v>273</v>
      </c>
      <c r="C592" s="254" t="s">
        <v>280</v>
      </c>
      <c r="D592" s="255">
        <v>45900</v>
      </c>
      <c r="E592" s="255">
        <v>45900</v>
      </c>
      <c r="F592" s="254" t="s">
        <v>281</v>
      </c>
      <c r="G592" s="254" t="s">
        <v>275</v>
      </c>
      <c r="H592" s="254"/>
      <c r="I592" s="254">
        <v>119</v>
      </c>
      <c r="J592" s="254" t="s">
        <v>276</v>
      </c>
      <c r="K592" s="254">
        <v>1533010002</v>
      </c>
      <c r="L592" s="256"/>
      <c r="M592" s="256"/>
      <c r="N592" s="256"/>
      <c r="O592" s="256"/>
      <c r="P592" s="256"/>
      <c r="Q592" s="256"/>
      <c r="R592" s="256"/>
      <c r="S592" s="256"/>
      <c r="T592" s="256">
        <v>-332150</v>
      </c>
      <c r="U592" s="254" t="s">
        <v>277</v>
      </c>
      <c r="V592" s="256"/>
      <c r="W592" s="256"/>
      <c r="X592" s="256"/>
      <c r="Y592" s="256"/>
      <c r="Z592" s="256"/>
      <c r="AA592" s="256"/>
      <c r="AB592" s="256"/>
      <c r="AC592" s="254" t="s">
        <v>278</v>
      </c>
      <c r="AD592" s="256"/>
      <c r="AE592" s="256"/>
      <c r="AF592" s="256">
        <v>20250831</v>
      </c>
      <c r="AG592" s="256"/>
      <c r="AH592" s="256"/>
      <c r="AI592" s="256">
        <v>20250831</v>
      </c>
      <c r="AJ592" s="256">
        <v>8001309074</v>
      </c>
      <c r="AK592" s="256"/>
      <c r="AL592" s="256"/>
      <c r="AM592" s="254" t="s">
        <v>305</v>
      </c>
      <c r="AO592" s="234">
        <v>0</v>
      </c>
      <c r="AP592" s="232">
        <f t="shared" si="22"/>
        <v>332150</v>
      </c>
      <c r="AQ592" s="230">
        <f t="shared" si="23"/>
        <v>8</v>
      </c>
    </row>
    <row r="593" spans="1:43">
      <c r="A593" s="254">
        <v>1</v>
      </c>
      <c r="B593" s="254" t="s">
        <v>273</v>
      </c>
      <c r="C593" s="254" t="s">
        <v>280</v>
      </c>
      <c r="D593" s="255">
        <v>45900</v>
      </c>
      <c r="E593" s="255">
        <v>45900</v>
      </c>
      <c r="F593" s="254" t="s">
        <v>281</v>
      </c>
      <c r="G593" s="254" t="s">
        <v>275</v>
      </c>
      <c r="H593" s="254"/>
      <c r="I593" s="254">
        <v>120</v>
      </c>
      <c r="J593" s="254" t="s">
        <v>276</v>
      </c>
      <c r="K593" s="254">
        <v>1533010002</v>
      </c>
      <c r="L593" s="256"/>
      <c r="M593" s="256"/>
      <c r="N593" s="256"/>
      <c r="O593" s="256"/>
      <c r="P593" s="256"/>
      <c r="Q593" s="256"/>
      <c r="R593" s="256"/>
      <c r="S593" s="256"/>
      <c r="T593" s="256">
        <v>-5326678</v>
      </c>
      <c r="U593" s="254" t="s">
        <v>277</v>
      </c>
      <c r="V593" s="256"/>
      <c r="W593" s="256"/>
      <c r="X593" s="256"/>
      <c r="Y593" s="256"/>
      <c r="Z593" s="256"/>
      <c r="AA593" s="256"/>
      <c r="AB593" s="256"/>
      <c r="AC593" s="254" t="s">
        <v>278</v>
      </c>
      <c r="AD593" s="256"/>
      <c r="AE593" s="256"/>
      <c r="AF593" s="256">
        <v>20250831</v>
      </c>
      <c r="AG593" s="256"/>
      <c r="AH593" s="256"/>
      <c r="AI593" s="256">
        <v>20250831</v>
      </c>
      <c r="AJ593" s="256">
        <v>8001309074</v>
      </c>
      <c r="AK593" s="256"/>
      <c r="AL593" s="256"/>
      <c r="AM593" s="254" t="s">
        <v>305</v>
      </c>
      <c r="AO593" s="234">
        <v>0</v>
      </c>
      <c r="AP593" s="232">
        <f t="shared" si="22"/>
        <v>5326678</v>
      </c>
      <c r="AQ593" s="230">
        <f t="shared" si="23"/>
        <v>8</v>
      </c>
    </row>
    <row r="594" spans="1:43">
      <c r="A594" s="254">
        <v>1</v>
      </c>
      <c r="B594" s="254" t="s">
        <v>273</v>
      </c>
      <c r="C594" s="254" t="s">
        <v>280</v>
      </c>
      <c r="D594" s="255">
        <v>45900</v>
      </c>
      <c r="E594" s="255">
        <v>45900</v>
      </c>
      <c r="F594" s="254" t="s">
        <v>281</v>
      </c>
      <c r="G594" s="254" t="s">
        <v>275</v>
      </c>
      <c r="H594" s="254"/>
      <c r="I594" s="254">
        <v>121</v>
      </c>
      <c r="J594" s="254" t="s">
        <v>276</v>
      </c>
      <c r="K594" s="254">
        <v>1533010002</v>
      </c>
      <c r="L594" s="256"/>
      <c r="M594" s="256"/>
      <c r="N594" s="256"/>
      <c r="O594" s="256"/>
      <c r="P594" s="256"/>
      <c r="Q594" s="256"/>
      <c r="R594" s="256"/>
      <c r="S594" s="256"/>
      <c r="T594" s="256">
        <v>-47450</v>
      </c>
      <c r="U594" s="254" t="s">
        <v>277</v>
      </c>
      <c r="V594" s="256"/>
      <c r="W594" s="256"/>
      <c r="X594" s="256"/>
      <c r="Y594" s="256"/>
      <c r="Z594" s="256"/>
      <c r="AA594" s="256"/>
      <c r="AB594" s="256"/>
      <c r="AC594" s="254" t="s">
        <v>278</v>
      </c>
      <c r="AD594" s="256"/>
      <c r="AE594" s="256"/>
      <c r="AF594" s="256">
        <v>20250831</v>
      </c>
      <c r="AG594" s="256"/>
      <c r="AH594" s="256"/>
      <c r="AI594" s="256">
        <v>20250831</v>
      </c>
      <c r="AJ594" s="256">
        <v>8060083947</v>
      </c>
      <c r="AK594" s="256"/>
      <c r="AL594" s="256"/>
      <c r="AM594" s="254" t="s">
        <v>298</v>
      </c>
      <c r="AO594" s="234">
        <v>0</v>
      </c>
      <c r="AP594" s="232">
        <f t="shared" si="22"/>
        <v>47450</v>
      </c>
      <c r="AQ594" s="230">
        <f t="shared" si="23"/>
        <v>8</v>
      </c>
    </row>
    <row r="595" spans="1:43">
      <c r="A595" s="254">
        <v>1</v>
      </c>
      <c r="B595" s="254" t="s">
        <v>273</v>
      </c>
      <c r="C595" s="254" t="s">
        <v>280</v>
      </c>
      <c r="D595" s="255">
        <v>45900</v>
      </c>
      <c r="E595" s="255">
        <v>45900</v>
      </c>
      <c r="F595" s="254" t="s">
        <v>281</v>
      </c>
      <c r="G595" s="254" t="s">
        <v>275</v>
      </c>
      <c r="H595" s="254"/>
      <c r="I595" s="254">
        <v>122</v>
      </c>
      <c r="J595" s="254" t="s">
        <v>276</v>
      </c>
      <c r="K595" s="254">
        <v>1533010002</v>
      </c>
      <c r="L595" s="256"/>
      <c r="M595" s="256"/>
      <c r="N595" s="256"/>
      <c r="O595" s="256"/>
      <c r="P595" s="256"/>
      <c r="Q595" s="256"/>
      <c r="R595" s="256"/>
      <c r="S595" s="256"/>
      <c r="T595" s="256">
        <v>-4857752</v>
      </c>
      <c r="U595" s="254" t="s">
        <v>277</v>
      </c>
      <c r="V595" s="256"/>
      <c r="W595" s="256"/>
      <c r="X595" s="256"/>
      <c r="Y595" s="256"/>
      <c r="Z595" s="256"/>
      <c r="AA595" s="256"/>
      <c r="AB595" s="256"/>
      <c r="AC595" s="254" t="s">
        <v>278</v>
      </c>
      <c r="AD595" s="256"/>
      <c r="AE595" s="256"/>
      <c r="AF595" s="256">
        <v>20250831</v>
      </c>
      <c r="AG595" s="256"/>
      <c r="AH595" s="256"/>
      <c r="AI595" s="256">
        <v>20250831</v>
      </c>
      <c r="AJ595" s="256">
        <v>8002514406</v>
      </c>
      <c r="AK595" s="256"/>
      <c r="AL595" s="256"/>
      <c r="AM595" s="254" t="s">
        <v>283</v>
      </c>
      <c r="AO595" s="234" t="s">
        <v>115</v>
      </c>
      <c r="AP595" s="232">
        <f t="shared" si="22"/>
        <v>4857752</v>
      </c>
      <c r="AQ595" s="230">
        <f t="shared" si="23"/>
        <v>8</v>
      </c>
    </row>
    <row r="596" spans="1:43">
      <c r="A596" s="254">
        <v>1</v>
      </c>
      <c r="B596" s="254" t="s">
        <v>273</v>
      </c>
      <c r="C596" s="254" t="s">
        <v>280</v>
      </c>
      <c r="D596" s="255">
        <v>45900</v>
      </c>
      <c r="E596" s="255">
        <v>45900</v>
      </c>
      <c r="F596" s="254" t="s">
        <v>281</v>
      </c>
      <c r="G596" s="254" t="s">
        <v>275</v>
      </c>
      <c r="H596" s="254"/>
      <c r="I596" s="254">
        <v>125</v>
      </c>
      <c r="J596" s="254" t="s">
        <v>276</v>
      </c>
      <c r="K596" s="254">
        <v>1533010002</v>
      </c>
      <c r="L596" s="256"/>
      <c r="M596" s="256"/>
      <c r="N596" s="256"/>
      <c r="O596" s="256"/>
      <c r="P596" s="256"/>
      <c r="Q596" s="256"/>
      <c r="R596" s="256"/>
      <c r="S596" s="256"/>
      <c r="T596" s="256">
        <v>-3036800</v>
      </c>
      <c r="U596" s="254" t="s">
        <v>277</v>
      </c>
      <c r="V596" s="256"/>
      <c r="W596" s="256"/>
      <c r="X596" s="256"/>
      <c r="Y596" s="256"/>
      <c r="Z596" s="256"/>
      <c r="AA596" s="256"/>
      <c r="AB596" s="256"/>
      <c r="AC596" s="254" t="s">
        <v>278</v>
      </c>
      <c r="AD596" s="256"/>
      <c r="AE596" s="256"/>
      <c r="AF596" s="256">
        <v>20250831</v>
      </c>
      <c r="AG596" s="256"/>
      <c r="AH596" s="256"/>
      <c r="AI596" s="256">
        <v>20250831</v>
      </c>
      <c r="AJ596" s="256">
        <v>8300035647</v>
      </c>
      <c r="AK596" s="256"/>
      <c r="AL596" s="256"/>
      <c r="AM596" s="254" t="s">
        <v>286</v>
      </c>
      <c r="AO596" s="234" t="s">
        <v>109</v>
      </c>
      <c r="AP596" s="232">
        <f t="shared" si="22"/>
        <v>3036800</v>
      </c>
      <c r="AQ596" s="230">
        <f t="shared" si="23"/>
        <v>8</v>
      </c>
    </row>
    <row r="597" spans="1:43">
      <c r="A597" s="254">
        <v>1</v>
      </c>
      <c r="B597" s="254" t="s">
        <v>273</v>
      </c>
      <c r="C597" s="254" t="s">
        <v>280</v>
      </c>
      <c r="D597" s="255">
        <v>45900</v>
      </c>
      <c r="E597" s="255">
        <v>45900</v>
      </c>
      <c r="F597" s="254" t="s">
        <v>281</v>
      </c>
      <c r="G597" s="254" t="s">
        <v>275</v>
      </c>
      <c r="H597" s="254"/>
      <c r="I597" s="254">
        <v>126</v>
      </c>
      <c r="J597" s="254" t="s">
        <v>276</v>
      </c>
      <c r="K597" s="254">
        <v>1533010002</v>
      </c>
      <c r="L597" s="256"/>
      <c r="M597" s="256"/>
      <c r="N597" s="256"/>
      <c r="O597" s="256"/>
      <c r="P597" s="256"/>
      <c r="Q597" s="256"/>
      <c r="R597" s="256"/>
      <c r="S597" s="256"/>
      <c r="T597" s="256">
        <v>-2041144</v>
      </c>
      <c r="U597" s="254" t="s">
        <v>277</v>
      </c>
      <c r="V597" s="256"/>
      <c r="W597" s="256"/>
      <c r="X597" s="256"/>
      <c r="Y597" s="256"/>
      <c r="Z597" s="256"/>
      <c r="AA597" s="256"/>
      <c r="AB597" s="256"/>
      <c r="AC597" s="254" t="s">
        <v>278</v>
      </c>
      <c r="AD597" s="256"/>
      <c r="AE597" s="256"/>
      <c r="AF597" s="256">
        <v>20250831</v>
      </c>
      <c r="AG597" s="256"/>
      <c r="AH597" s="256"/>
      <c r="AI597" s="256">
        <v>20250831</v>
      </c>
      <c r="AJ597" s="256">
        <v>8002514406</v>
      </c>
      <c r="AK597" s="256"/>
      <c r="AL597" s="256"/>
      <c r="AM597" s="254" t="s">
        <v>283</v>
      </c>
      <c r="AO597" s="234" t="s">
        <v>115</v>
      </c>
      <c r="AP597" s="232">
        <f t="shared" si="22"/>
        <v>2041144</v>
      </c>
      <c r="AQ597" s="230">
        <f t="shared" si="23"/>
        <v>8</v>
      </c>
    </row>
    <row r="598" spans="1:43">
      <c r="A598" s="254">
        <v>1</v>
      </c>
      <c r="B598" s="254" t="s">
        <v>273</v>
      </c>
      <c r="C598" s="254" t="s">
        <v>280</v>
      </c>
      <c r="D598" s="255">
        <v>45900</v>
      </c>
      <c r="E598" s="255">
        <v>45900</v>
      </c>
      <c r="F598" s="254" t="s">
        <v>281</v>
      </c>
      <c r="G598" s="254" t="s">
        <v>275</v>
      </c>
      <c r="H598" s="254"/>
      <c r="I598" s="254">
        <v>127</v>
      </c>
      <c r="J598" s="254" t="s">
        <v>276</v>
      </c>
      <c r="K598" s="254">
        <v>1533010002</v>
      </c>
      <c r="L598" s="256"/>
      <c r="M598" s="256"/>
      <c r="N598" s="256"/>
      <c r="O598" s="256"/>
      <c r="P598" s="256"/>
      <c r="Q598" s="256"/>
      <c r="R598" s="256"/>
      <c r="S598" s="256"/>
      <c r="T598" s="256">
        <v>-3936327</v>
      </c>
      <c r="U598" s="254" t="s">
        <v>277</v>
      </c>
      <c r="V598" s="256"/>
      <c r="W598" s="256"/>
      <c r="X598" s="256"/>
      <c r="Y598" s="256"/>
      <c r="Z598" s="256"/>
      <c r="AA598" s="256"/>
      <c r="AB598" s="256"/>
      <c r="AC598" s="254" t="s">
        <v>278</v>
      </c>
      <c r="AD598" s="256"/>
      <c r="AE598" s="256"/>
      <c r="AF598" s="256">
        <v>20250831</v>
      </c>
      <c r="AG598" s="256"/>
      <c r="AH598" s="256"/>
      <c r="AI598" s="256">
        <v>20250831</v>
      </c>
      <c r="AJ598" s="256">
        <v>8000887022</v>
      </c>
      <c r="AK598" s="256"/>
      <c r="AL598" s="256"/>
      <c r="AM598" s="254" t="s">
        <v>292</v>
      </c>
      <c r="AO598" s="234" t="s">
        <v>108</v>
      </c>
      <c r="AP598" s="232">
        <f t="shared" si="22"/>
        <v>3936327</v>
      </c>
      <c r="AQ598" s="230">
        <f t="shared" si="23"/>
        <v>8</v>
      </c>
    </row>
    <row r="599" spans="1:43">
      <c r="A599" s="254">
        <v>1</v>
      </c>
      <c r="B599" s="254" t="s">
        <v>273</v>
      </c>
      <c r="C599" s="254" t="s">
        <v>280</v>
      </c>
      <c r="D599" s="255">
        <v>45900</v>
      </c>
      <c r="E599" s="255">
        <v>45900</v>
      </c>
      <c r="F599" s="254" t="s">
        <v>281</v>
      </c>
      <c r="G599" s="254" t="s">
        <v>275</v>
      </c>
      <c r="H599" s="254"/>
      <c r="I599" s="254">
        <v>128</v>
      </c>
      <c r="J599" s="254" t="s">
        <v>276</v>
      </c>
      <c r="K599" s="254">
        <v>1533010002</v>
      </c>
      <c r="L599" s="256"/>
      <c r="M599" s="256"/>
      <c r="N599" s="256"/>
      <c r="O599" s="256"/>
      <c r="P599" s="256"/>
      <c r="Q599" s="256"/>
      <c r="R599" s="256"/>
      <c r="S599" s="256"/>
      <c r="T599" s="256">
        <v>-3305116</v>
      </c>
      <c r="U599" s="254" t="s">
        <v>277</v>
      </c>
      <c r="V599" s="256"/>
      <c r="W599" s="256"/>
      <c r="X599" s="256"/>
      <c r="Y599" s="256"/>
      <c r="Z599" s="256"/>
      <c r="AA599" s="256"/>
      <c r="AB599" s="256"/>
      <c r="AC599" s="254" t="s">
        <v>278</v>
      </c>
      <c r="AD599" s="256"/>
      <c r="AE599" s="256"/>
      <c r="AF599" s="256">
        <v>20250831</v>
      </c>
      <c r="AG599" s="256"/>
      <c r="AH599" s="256"/>
      <c r="AI599" s="256">
        <v>20250831</v>
      </c>
      <c r="AJ599" s="256">
        <v>8600669427</v>
      </c>
      <c r="AK599" s="256"/>
      <c r="AL599" s="256"/>
      <c r="AM599" s="254" t="s">
        <v>289</v>
      </c>
      <c r="AO599" s="234" t="s">
        <v>101</v>
      </c>
      <c r="AP599" s="232">
        <f t="shared" si="22"/>
        <v>3305116</v>
      </c>
      <c r="AQ599" s="230">
        <f t="shared" si="23"/>
        <v>8</v>
      </c>
    </row>
    <row r="600" spans="1:43">
      <c r="A600" s="254">
        <v>1</v>
      </c>
      <c r="B600" s="254" t="s">
        <v>273</v>
      </c>
      <c r="C600" s="254" t="s">
        <v>280</v>
      </c>
      <c r="D600" s="255">
        <v>45900</v>
      </c>
      <c r="E600" s="255">
        <v>45900</v>
      </c>
      <c r="F600" s="254" t="s">
        <v>281</v>
      </c>
      <c r="G600" s="254" t="s">
        <v>275</v>
      </c>
      <c r="H600" s="254"/>
      <c r="I600" s="254">
        <v>129</v>
      </c>
      <c r="J600" s="254" t="s">
        <v>276</v>
      </c>
      <c r="K600" s="254">
        <v>1533010002</v>
      </c>
      <c r="L600" s="256"/>
      <c r="M600" s="256"/>
      <c r="N600" s="256"/>
      <c r="O600" s="256"/>
      <c r="P600" s="256"/>
      <c r="Q600" s="256"/>
      <c r="R600" s="256"/>
      <c r="S600" s="256"/>
      <c r="T600" s="256">
        <v>-189800</v>
      </c>
      <c r="U600" s="254" t="s">
        <v>277</v>
      </c>
      <c r="V600" s="256"/>
      <c r="W600" s="256"/>
      <c r="X600" s="256"/>
      <c r="Y600" s="256"/>
      <c r="Z600" s="256"/>
      <c r="AA600" s="256"/>
      <c r="AB600" s="256"/>
      <c r="AC600" s="254" t="s">
        <v>278</v>
      </c>
      <c r="AD600" s="256"/>
      <c r="AE600" s="256"/>
      <c r="AF600" s="256">
        <v>20250831</v>
      </c>
      <c r="AG600" s="256"/>
      <c r="AH600" s="256"/>
      <c r="AI600" s="256">
        <v>20250831</v>
      </c>
      <c r="AJ600" s="256">
        <v>8140003371</v>
      </c>
      <c r="AK600" s="256"/>
      <c r="AL600" s="256"/>
      <c r="AM600" s="254" t="s">
        <v>285</v>
      </c>
      <c r="AO600" s="234" t="s">
        <v>82</v>
      </c>
      <c r="AP600" s="232">
        <f t="shared" si="22"/>
        <v>189800</v>
      </c>
      <c r="AQ600" s="230">
        <f t="shared" si="23"/>
        <v>8</v>
      </c>
    </row>
    <row r="601" spans="1:43">
      <c r="A601" s="254">
        <v>1</v>
      </c>
      <c r="B601" s="254" t="s">
        <v>273</v>
      </c>
      <c r="C601" s="254" t="s">
        <v>280</v>
      </c>
      <c r="D601" s="255">
        <v>45900</v>
      </c>
      <c r="E601" s="255">
        <v>45900</v>
      </c>
      <c r="F601" s="254" t="s">
        <v>281</v>
      </c>
      <c r="G601" s="254" t="s">
        <v>275</v>
      </c>
      <c r="H601" s="254"/>
      <c r="I601" s="254">
        <v>130</v>
      </c>
      <c r="J601" s="254" t="s">
        <v>276</v>
      </c>
      <c r="K601" s="254">
        <v>1533010002</v>
      </c>
      <c r="L601" s="256"/>
      <c r="M601" s="256"/>
      <c r="N601" s="256"/>
      <c r="O601" s="256"/>
      <c r="P601" s="256"/>
      <c r="Q601" s="256"/>
      <c r="R601" s="256"/>
      <c r="S601" s="256"/>
      <c r="T601" s="256">
        <v>-1613300</v>
      </c>
      <c r="U601" s="254" t="s">
        <v>277</v>
      </c>
      <c r="V601" s="256"/>
      <c r="W601" s="256"/>
      <c r="X601" s="256"/>
      <c r="Y601" s="256"/>
      <c r="Z601" s="256"/>
      <c r="AA601" s="256"/>
      <c r="AB601" s="256"/>
      <c r="AC601" s="254" t="s">
        <v>278</v>
      </c>
      <c r="AD601" s="256"/>
      <c r="AE601" s="256"/>
      <c r="AF601" s="256">
        <v>20250831</v>
      </c>
      <c r="AG601" s="256"/>
      <c r="AH601" s="256"/>
      <c r="AI601" s="256">
        <v>20250831</v>
      </c>
      <c r="AJ601" s="256">
        <v>8300035647</v>
      </c>
      <c r="AK601" s="256"/>
      <c r="AL601" s="256"/>
      <c r="AM601" s="254" t="s">
        <v>286</v>
      </c>
      <c r="AO601" s="234" t="s">
        <v>109</v>
      </c>
      <c r="AP601" s="232">
        <f t="shared" si="22"/>
        <v>1613300</v>
      </c>
      <c r="AQ601" s="230">
        <f t="shared" si="23"/>
        <v>8</v>
      </c>
    </row>
    <row r="602" spans="1:43">
      <c r="A602" s="254">
        <v>1</v>
      </c>
      <c r="B602" s="254" t="s">
        <v>273</v>
      </c>
      <c r="C602" s="254" t="s">
        <v>280</v>
      </c>
      <c r="D602" s="255">
        <v>45900</v>
      </c>
      <c r="E602" s="255">
        <v>45900</v>
      </c>
      <c r="F602" s="254" t="s">
        <v>281</v>
      </c>
      <c r="G602" s="254" t="s">
        <v>275</v>
      </c>
      <c r="H602" s="254"/>
      <c r="I602" s="254">
        <v>131</v>
      </c>
      <c r="J602" s="254" t="s">
        <v>276</v>
      </c>
      <c r="K602" s="254">
        <v>1533010002</v>
      </c>
      <c r="L602" s="256"/>
      <c r="M602" s="256"/>
      <c r="N602" s="256"/>
      <c r="O602" s="256"/>
      <c r="P602" s="256"/>
      <c r="Q602" s="256"/>
      <c r="R602" s="256"/>
      <c r="S602" s="256"/>
      <c r="T602" s="256">
        <v>-189800</v>
      </c>
      <c r="U602" s="254" t="s">
        <v>277</v>
      </c>
      <c r="V602" s="256"/>
      <c r="W602" s="256"/>
      <c r="X602" s="256"/>
      <c r="Y602" s="256"/>
      <c r="Z602" s="256"/>
      <c r="AA602" s="256"/>
      <c r="AB602" s="256"/>
      <c r="AC602" s="254" t="s">
        <v>278</v>
      </c>
      <c r="AD602" s="256"/>
      <c r="AE602" s="256"/>
      <c r="AF602" s="256">
        <v>20250831</v>
      </c>
      <c r="AG602" s="256"/>
      <c r="AH602" s="256"/>
      <c r="AI602" s="256">
        <v>20250831</v>
      </c>
      <c r="AJ602" s="256">
        <v>8050011572</v>
      </c>
      <c r="AK602" s="256"/>
      <c r="AL602" s="256"/>
      <c r="AM602" s="254" t="s">
        <v>284</v>
      </c>
      <c r="AO602" s="234">
        <v>0</v>
      </c>
      <c r="AP602" s="232">
        <f t="shared" si="22"/>
        <v>189800</v>
      </c>
      <c r="AQ602" s="230">
        <f t="shared" si="23"/>
        <v>8</v>
      </c>
    </row>
    <row r="603" spans="1:43">
      <c r="A603" s="254">
        <v>1</v>
      </c>
      <c r="B603" s="254" t="s">
        <v>273</v>
      </c>
      <c r="C603" s="254" t="s">
        <v>280</v>
      </c>
      <c r="D603" s="255">
        <v>45900</v>
      </c>
      <c r="E603" s="255">
        <v>45900</v>
      </c>
      <c r="F603" s="254" t="s">
        <v>281</v>
      </c>
      <c r="G603" s="254" t="s">
        <v>275</v>
      </c>
      <c r="H603" s="254"/>
      <c r="I603" s="254">
        <v>132</v>
      </c>
      <c r="J603" s="254" t="s">
        <v>276</v>
      </c>
      <c r="K603" s="254">
        <v>1533010002</v>
      </c>
      <c r="L603" s="256"/>
      <c r="M603" s="256"/>
      <c r="N603" s="256"/>
      <c r="O603" s="256"/>
      <c r="P603" s="256"/>
      <c r="Q603" s="256"/>
      <c r="R603" s="256"/>
      <c r="S603" s="256"/>
      <c r="T603" s="256">
        <v>-63641</v>
      </c>
      <c r="U603" s="254" t="s">
        <v>277</v>
      </c>
      <c r="V603" s="256"/>
      <c r="W603" s="256"/>
      <c r="X603" s="256"/>
      <c r="Y603" s="256"/>
      <c r="Z603" s="256"/>
      <c r="AA603" s="256"/>
      <c r="AB603" s="256"/>
      <c r="AC603" s="254" t="s">
        <v>278</v>
      </c>
      <c r="AD603" s="256"/>
      <c r="AE603" s="256"/>
      <c r="AF603" s="256">
        <v>20250831</v>
      </c>
      <c r="AG603" s="256"/>
      <c r="AH603" s="256"/>
      <c r="AI603" s="256">
        <v>20250831</v>
      </c>
      <c r="AJ603" s="256">
        <v>8600021839</v>
      </c>
      <c r="AK603" s="256"/>
      <c r="AL603" s="256"/>
      <c r="AM603" s="254" t="s">
        <v>288</v>
      </c>
      <c r="AO603" s="234">
        <v>0</v>
      </c>
      <c r="AP603" s="232">
        <f t="shared" si="22"/>
        <v>63641</v>
      </c>
      <c r="AQ603" s="230">
        <f t="shared" si="23"/>
        <v>8</v>
      </c>
    </row>
    <row r="604" spans="1:43">
      <c r="A604" s="254">
        <v>1</v>
      </c>
      <c r="B604" s="254" t="s">
        <v>273</v>
      </c>
      <c r="C604" s="254" t="s">
        <v>280</v>
      </c>
      <c r="D604" s="255">
        <v>45900</v>
      </c>
      <c r="E604" s="255">
        <v>45900</v>
      </c>
      <c r="F604" s="254" t="s">
        <v>281</v>
      </c>
      <c r="G604" s="254" t="s">
        <v>275</v>
      </c>
      <c r="H604" s="254"/>
      <c r="I604" s="254">
        <v>133</v>
      </c>
      <c r="J604" s="254" t="s">
        <v>276</v>
      </c>
      <c r="K604" s="254">
        <v>1533010002</v>
      </c>
      <c r="L604" s="256"/>
      <c r="M604" s="256"/>
      <c r="N604" s="256"/>
      <c r="O604" s="256"/>
      <c r="P604" s="256"/>
      <c r="Q604" s="256"/>
      <c r="R604" s="256"/>
      <c r="S604" s="256"/>
      <c r="T604" s="256">
        <v>-142350</v>
      </c>
      <c r="U604" s="254" t="s">
        <v>277</v>
      </c>
      <c r="V604" s="256"/>
      <c r="W604" s="256"/>
      <c r="X604" s="256"/>
      <c r="Y604" s="256"/>
      <c r="Z604" s="256"/>
      <c r="AA604" s="256"/>
      <c r="AB604" s="256"/>
      <c r="AC604" s="254" t="s">
        <v>278</v>
      </c>
      <c r="AD604" s="256"/>
      <c r="AE604" s="256"/>
      <c r="AF604" s="256">
        <v>20250831</v>
      </c>
      <c r="AG604" s="256"/>
      <c r="AH604" s="256"/>
      <c r="AI604" s="256">
        <v>20250831</v>
      </c>
      <c r="AJ604" s="256">
        <v>8060083947</v>
      </c>
      <c r="AK604" s="256"/>
      <c r="AL604" s="256"/>
      <c r="AM604" s="254" t="s">
        <v>298</v>
      </c>
      <c r="AO604" s="234">
        <v>0</v>
      </c>
      <c r="AP604" s="232">
        <f t="shared" si="22"/>
        <v>142350</v>
      </c>
      <c r="AQ604" s="230">
        <f t="shared" si="23"/>
        <v>8</v>
      </c>
    </row>
    <row r="605" spans="1:43">
      <c r="A605" s="254">
        <v>1</v>
      </c>
      <c r="B605" s="254" t="s">
        <v>273</v>
      </c>
      <c r="C605" s="254" t="s">
        <v>280</v>
      </c>
      <c r="D605" s="255">
        <v>45900</v>
      </c>
      <c r="E605" s="255">
        <v>45900</v>
      </c>
      <c r="F605" s="254" t="s">
        <v>281</v>
      </c>
      <c r="G605" s="254" t="s">
        <v>275</v>
      </c>
      <c r="H605" s="254"/>
      <c r="I605" s="254">
        <v>134</v>
      </c>
      <c r="J605" s="254" t="s">
        <v>276</v>
      </c>
      <c r="K605" s="254">
        <v>1533010002</v>
      </c>
      <c r="L605" s="256"/>
      <c r="M605" s="256"/>
      <c r="N605" s="256"/>
      <c r="O605" s="256"/>
      <c r="P605" s="256"/>
      <c r="Q605" s="256"/>
      <c r="R605" s="256"/>
      <c r="S605" s="256"/>
      <c r="T605" s="256">
        <v>-2182700</v>
      </c>
      <c r="U605" s="254" t="s">
        <v>277</v>
      </c>
      <c r="V605" s="256"/>
      <c r="W605" s="256"/>
      <c r="X605" s="256"/>
      <c r="Y605" s="256"/>
      <c r="Z605" s="256"/>
      <c r="AA605" s="256"/>
      <c r="AB605" s="256"/>
      <c r="AC605" s="254" t="s">
        <v>278</v>
      </c>
      <c r="AD605" s="256"/>
      <c r="AE605" s="256"/>
      <c r="AF605" s="256">
        <v>20250831</v>
      </c>
      <c r="AG605" s="256"/>
      <c r="AH605" s="256"/>
      <c r="AI605" s="256">
        <v>20250831</v>
      </c>
      <c r="AJ605" s="256">
        <v>8000887022</v>
      </c>
      <c r="AK605" s="256"/>
      <c r="AL605" s="256"/>
      <c r="AM605" s="254" t="s">
        <v>292</v>
      </c>
      <c r="AO605" s="234" t="s">
        <v>108</v>
      </c>
      <c r="AP605" s="232">
        <f t="shared" si="22"/>
        <v>2182700</v>
      </c>
      <c r="AQ605" s="230">
        <f t="shared" si="23"/>
        <v>8</v>
      </c>
    </row>
    <row r="606" spans="1:43">
      <c r="A606" s="254">
        <v>1</v>
      </c>
      <c r="B606" s="254" t="s">
        <v>273</v>
      </c>
      <c r="C606" s="254" t="s">
        <v>280</v>
      </c>
      <c r="D606" s="255">
        <v>45900</v>
      </c>
      <c r="E606" s="255">
        <v>45900</v>
      </c>
      <c r="F606" s="254" t="s">
        <v>281</v>
      </c>
      <c r="G606" s="254" t="s">
        <v>275</v>
      </c>
      <c r="H606" s="254"/>
      <c r="I606" s="254">
        <v>135</v>
      </c>
      <c r="J606" s="254" t="s">
        <v>276</v>
      </c>
      <c r="K606" s="254">
        <v>1533010002</v>
      </c>
      <c r="L606" s="256"/>
      <c r="M606" s="256"/>
      <c r="N606" s="256"/>
      <c r="O606" s="256"/>
      <c r="P606" s="256"/>
      <c r="Q606" s="256"/>
      <c r="R606" s="256"/>
      <c r="S606" s="256"/>
      <c r="T606" s="256">
        <v>-3064754</v>
      </c>
      <c r="U606" s="254" t="s">
        <v>277</v>
      </c>
      <c r="V606" s="256"/>
      <c r="W606" s="256"/>
      <c r="X606" s="256"/>
      <c r="Y606" s="256"/>
      <c r="Z606" s="256"/>
      <c r="AA606" s="256"/>
      <c r="AB606" s="256"/>
      <c r="AC606" s="254" t="s">
        <v>278</v>
      </c>
      <c r="AD606" s="256"/>
      <c r="AE606" s="256"/>
      <c r="AF606" s="256">
        <v>20250831</v>
      </c>
      <c r="AG606" s="256"/>
      <c r="AH606" s="256"/>
      <c r="AI606" s="256">
        <v>20250831</v>
      </c>
      <c r="AJ606" s="256">
        <v>8002514406</v>
      </c>
      <c r="AK606" s="256"/>
      <c r="AL606" s="256"/>
      <c r="AM606" s="254" t="s">
        <v>283</v>
      </c>
      <c r="AO606" s="234" t="s">
        <v>115</v>
      </c>
      <c r="AP606" s="232">
        <f t="shared" si="22"/>
        <v>3064754</v>
      </c>
      <c r="AQ606" s="230">
        <f t="shared" si="23"/>
        <v>8</v>
      </c>
    </row>
    <row r="607" spans="1:43">
      <c r="A607" s="254">
        <v>1</v>
      </c>
      <c r="B607" s="254" t="s">
        <v>273</v>
      </c>
      <c r="C607" s="254" t="s">
        <v>280</v>
      </c>
      <c r="D607" s="255">
        <v>45900</v>
      </c>
      <c r="E607" s="255">
        <v>45900</v>
      </c>
      <c r="F607" s="254" t="s">
        <v>281</v>
      </c>
      <c r="G607" s="254" t="s">
        <v>275</v>
      </c>
      <c r="H607" s="254"/>
      <c r="I607" s="254">
        <v>136</v>
      </c>
      <c r="J607" s="254" t="s">
        <v>276</v>
      </c>
      <c r="K607" s="254">
        <v>1533010002</v>
      </c>
      <c r="L607" s="256"/>
      <c r="M607" s="256"/>
      <c r="N607" s="256"/>
      <c r="O607" s="256"/>
      <c r="P607" s="256"/>
      <c r="Q607" s="256"/>
      <c r="R607" s="256"/>
      <c r="S607" s="256"/>
      <c r="T607" s="256">
        <v>-457419</v>
      </c>
      <c r="U607" s="254" t="s">
        <v>277</v>
      </c>
      <c r="V607" s="256"/>
      <c r="W607" s="256"/>
      <c r="X607" s="256"/>
      <c r="Y607" s="256"/>
      <c r="Z607" s="256"/>
      <c r="AA607" s="256"/>
      <c r="AB607" s="256"/>
      <c r="AC607" s="254" t="s">
        <v>278</v>
      </c>
      <c r="AD607" s="256"/>
      <c r="AE607" s="256"/>
      <c r="AF607" s="256">
        <v>20250831</v>
      </c>
      <c r="AG607" s="256"/>
      <c r="AH607" s="256"/>
      <c r="AI607" s="256">
        <v>20250831</v>
      </c>
      <c r="AJ607" s="256">
        <v>8600021839</v>
      </c>
      <c r="AK607" s="256"/>
      <c r="AL607" s="256"/>
      <c r="AM607" s="254" t="s">
        <v>288</v>
      </c>
      <c r="AO607" s="234">
        <v>0</v>
      </c>
      <c r="AP607" s="232">
        <f t="shared" si="22"/>
        <v>457419</v>
      </c>
      <c r="AQ607" s="230">
        <f t="shared" si="23"/>
        <v>8</v>
      </c>
    </row>
    <row r="608" spans="1:43">
      <c r="A608" s="254">
        <v>1</v>
      </c>
      <c r="B608" s="254" t="s">
        <v>273</v>
      </c>
      <c r="C608" s="254" t="s">
        <v>280</v>
      </c>
      <c r="D608" s="255">
        <v>45900</v>
      </c>
      <c r="E608" s="255">
        <v>45900</v>
      </c>
      <c r="F608" s="254" t="s">
        <v>281</v>
      </c>
      <c r="G608" s="254" t="s">
        <v>275</v>
      </c>
      <c r="H608" s="254"/>
      <c r="I608" s="254">
        <v>137</v>
      </c>
      <c r="J608" s="254" t="s">
        <v>276</v>
      </c>
      <c r="K608" s="254">
        <v>1533010002</v>
      </c>
      <c r="L608" s="256"/>
      <c r="M608" s="256"/>
      <c r="N608" s="256"/>
      <c r="O608" s="256"/>
      <c r="P608" s="256"/>
      <c r="Q608" s="256"/>
      <c r="R608" s="256"/>
      <c r="S608" s="256"/>
      <c r="T608" s="256">
        <v>-4213661</v>
      </c>
      <c r="U608" s="254" t="s">
        <v>277</v>
      </c>
      <c r="V608" s="256"/>
      <c r="W608" s="256"/>
      <c r="X608" s="256"/>
      <c r="Y608" s="256"/>
      <c r="Z608" s="256"/>
      <c r="AA608" s="256"/>
      <c r="AB608" s="256"/>
      <c r="AC608" s="254" t="s">
        <v>278</v>
      </c>
      <c r="AD608" s="256"/>
      <c r="AE608" s="256"/>
      <c r="AF608" s="256">
        <v>20250831</v>
      </c>
      <c r="AG608" s="256"/>
      <c r="AH608" s="256"/>
      <c r="AI608" s="256">
        <v>20250831</v>
      </c>
      <c r="AJ608" s="256">
        <v>8301138310</v>
      </c>
      <c r="AK608" s="256"/>
      <c r="AL608" s="256"/>
      <c r="AM608" s="254" t="s">
        <v>287</v>
      </c>
      <c r="AO608" s="234">
        <v>0</v>
      </c>
      <c r="AP608" s="232">
        <f t="shared" si="22"/>
        <v>4213661</v>
      </c>
      <c r="AQ608" s="230">
        <f t="shared" si="23"/>
        <v>8</v>
      </c>
    </row>
    <row r="609" spans="1:43">
      <c r="A609" s="254">
        <v>1</v>
      </c>
      <c r="B609" s="254" t="s">
        <v>273</v>
      </c>
      <c r="C609" s="254" t="s">
        <v>280</v>
      </c>
      <c r="D609" s="255">
        <v>45900</v>
      </c>
      <c r="E609" s="255">
        <v>45900</v>
      </c>
      <c r="F609" s="254" t="s">
        <v>281</v>
      </c>
      <c r="G609" s="254" t="s">
        <v>275</v>
      </c>
      <c r="H609" s="254"/>
      <c r="I609" s="254">
        <v>138</v>
      </c>
      <c r="J609" s="254" t="s">
        <v>276</v>
      </c>
      <c r="K609" s="254">
        <v>1533010002</v>
      </c>
      <c r="L609" s="256"/>
      <c r="M609" s="256"/>
      <c r="N609" s="256"/>
      <c r="O609" s="256"/>
      <c r="P609" s="256"/>
      <c r="Q609" s="256"/>
      <c r="R609" s="256"/>
      <c r="S609" s="256"/>
      <c r="T609" s="256">
        <v>-569400</v>
      </c>
      <c r="U609" s="254" t="s">
        <v>277</v>
      </c>
      <c r="V609" s="256"/>
      <c r="W609" s="256"/>
      <c r="X609" s="256"/>
      <c r="Y609" s="256"/>
      <c r="Z609" s="256"/>
      <c r="AA609" s="256"/>
      <c r="AB609" s="256"/>
      <c r="AC609" s="254" t="s">
        <v>278</v>
      </c>
      <c r="AD609" s="256"/>
      <c r="AE609" s="256"/>
      <c r="AF609" s="256">
        <v>20250831</v>
      </c>
      <c r="AG609" s="256"/>
      <c r="AH609" s="256"/>
      <c r="AI609" s="256">
        <v>20250831</v>
      </c>
      <c r="AJ609" s="256">
        <v>8600669427</v>
      </c>
      <c r="AK609" s="256"/>
      <c r="AL609" s="256"/>
      <c r="AM609" s="254" t="s">
        <v>289</v>
      </c>
      <c r="AO609" s="234" t="s">
        <v>101</v>
      </c>
      <c r="AP609" s="232">
        <f t="shared" si="22"/>
        <v>569400</v>
      </c>
      <c r="AQ609" s="230">
        <f t="shared" si="23"/>
        <v>8</v>
      </c>
    </row>
    <row r="610" spans="1:43">
      <c r="A610" s="254">
        <v>1</v>
      </c>
      <c r="B610" s="254" t="s">
        <v>273</v>
      </c>
      <c r="C610" s="254" t="s">
        <v>280</v>
      </c>
      <c r="D610" s="255">
        <v>45900</v>
      </c>
      <c r="E610" s="255">
        <v>45900</v>
      </c>
      <c r="F610" s="254" t="s">
        <v>281</v>
      </c>
      <c r="G610" s="254" t="s">
        <v>275</v>
      </c>
      <c r="H610" s="254"/>
      <c r="I610" s="254">
        <v>139</v>
      </c>
      <c r="J610" s="254" t="s">
        <v>276</v>
      </c>
      <c r="K610" s="254">
        <v>1533010002</v>
      </c>
      <c r="L610" s="256"/>
      <c r="M610" s="256"/>
      <c r="N610" s="256"/>
      <c r="O610" s="256"/>
      <c r="P610" s="256"/>
      <c r="Q610" s="256"/>
      <c r="R610" s="256"/>
      <c r="S610" s="256"/>
      <c r="T610" s="256">
        <v>-1518400</v>
      </c>
      <c r="U610" s="254" t="s">
        <v>277</v>
      </c>
      <c r="V610" s="256"/>
      <c r="W610" s="256"/>
      <c r="X610" s="256"/>
      <c r="Y610" s="256"/>
      <c r="Z610" s="256"/>
      <c r="AA610" s="256"/>
      <c r="AB610" s="256"/>
      <c r="AC610" s="254" t="s">
        <v>278</v>
      </c>
      <c r="AD610" s="256"/>
      <c r="AE610" s="256"/>
      <c r="AF610" s="256">
        <v>20250831</v>
      </c>
      <c r="AG610" s="256"/>
      <c r="AH610" s="256"/>
      <c r="AI610" s="256">
        <v>20250831</v>
      </c>
      <c r="AJ610" s="256">
        <v>9001562642</v>
      </c>
      <c r="AK610" s="256"/>
      <c r="AL610" s="256"/>
      <c r="AM610" s="254" t="s">
        <v>316</v>
      </c>
      <c r="AO610" s="234" t="s">
        <v>111</v>
      </c>
      <c r="AP610" s="232">
        <f t="shared" si="22"/>
        <v>1518400</v>
      </c>
      <c r="AQ610" s="230">
        <f t="shared" si="23"/>
        <v>8</v>
      </c>
    </row>
    <row r="611" spans="1:43">
      <c r="A611" s="254">
        <v>1</v>
      </c>
      <c r="B611" s="254" t="s">
        <v>273</v>
      </c>
      <c r="C611" s="254" t="s">
        <v>280</v>
      </c>
      <c r="D611" s="255">
        <v>45900</v>
      </c>
      <c r="E611" s="255">
        <v>45900</v>
      </c>
      <c r="F611" s="254" t="s">
        <v>281</v>
      </c>
      <c r="G611" s="254" t="s">
        <v>275</v>
      </c>
      <c r="H611" s="254"/>
      <c r="I611" s="254">
        <v>140</v>
      </c>
      <c r="J611" s="254" t="s">
        <v>276</v>
      </c>
      <c r="K611" s="254">
        <v>1533010002</v>
      </c>
      <c r="L611" s="256"/>
      <c r="M611" s="256"/>
      <c r="N611" s="256"/>
      <c r="O611" s="256"/>
      <c r="P611" s="256"/>
      <c r="Q611" s="256"/>
      <c r="R611" s="256"/>
      <c r="S611" s="256"/>
      <c r="T611" s="256">
        <v>-448985</v>
      </c>
      <c r="U611" s="254" t="s">
        <v>277</v>
      </c>
      <c r="V611" s="256"/>
      <c r="W611" s="256"/>
      <c r="X611" s="256"/>
      <c r="Y611" s="256"/>
      <c r="Z611" s="256"/>
      <c r="AA611" s="256"/>
      <c r="AB611" s="256"/>
      <c r="AC611" s="254" t="s">
        <v>278</v>
      </c>
      <c r="AD611" s="256"/>
      <c r="AE611" s="256"/>
      <c r="AF611" s="256">
        <v>20250831</v>
      </c>
      <c r="AG611" s="256"/>
      <c r="AH611" s="256"/>
      <c r="AI611" s="256">
        <v>20250831</v>
      </c>
      <c r="AJ611" s="256">
        <v>8002514406</v>
      </c>
      <c r="AK611" s="256"/>
      <c r="AL611" s="256"/>
      <c r="AM611" s="254" t="s">
        <v>283</v>
      </c>
      <c r="AO611" s="234" t="s">
        <v>115</v>
      </c>
      <c r="AP611" s="232">
        <f t="shared" si="22"/>
        <v>448985</v>
      </c>
      <c r="AQ611" s="230">
        <f t="shared" si="23"/>
        <v>8</v>
      </c>
    </row>
    <row r="612" spans="1:43">
      <c r="A612" s="254">
        <v>1</v>
      </c>
      <c r="B612" s="254" t="s">
        <v>273</v>
      </c>
      <c r="C612" s="254" t="s">
        <v>280</v>
      </c>
      <c r="D612" s="255">
        <v>45900</v>
      </c>
      <c r="E612" s="255">
        <v>45900</v>
      </c>
      <c r="F612" s="254" t="s">
        <v>281</v>
      </c>
      <c r="G612" s="254" t="s">
        <v>275</v>
      </c>
      <c r="H612" s="254"/>
      <c r="I612" s="254">
        <v>141</v>
      </c>
      <c r="J612" s="254" t="s">
        <v>276</v>
      </c>
      <c r="K612" s="254">
        <v>1533010002</v>
      </c>
      <c r="L612" s="256"/>
      <c r="M612" s="256"/>
      <c r="N612" s="256"/>
      <c r="O612" s="256"/>
      <c r="P612" s="256"/>
      <c r="Q612" s="256"/>
      <c r="R612" s="256"/>
      <c r="S612" s="256"/>
      <c r="T612" s="256">
        <v>-1423500</v>
      </c>
      <c r="U612" s="254" t="s">
        <v>277</v>
      </c>
      <c r="V612" s="256"/>
      <c r="W612" s="256"/>
      <c r="X612" s="256"/>
      <c r="Y612" s="256"/>
      <c r="Z612" s="256"/>
      <c r="AA612" s="256"/>
      <c r="AB612" s="256"/>
      <c r="AC612" s="254" t="s">
        <v>278</v>
      </c>
      <c r="AD612" s="256"/>
      <c r="AE612" s="256"/>
      <c r="AF612" s="256">
        <v>20250831</v>
      </c>
      <c r="AG612" s="256"/>
      <c r="AH612" s="256"/>
      <c r="AI612" s="256">
        <v>20250831</v>
      </c>
      <c r="AJ612" s="256">
        <v>8002492410</v>
      </c>
      <c r="AK612" s="256"/>
      <c r="AL612" s="256"/>
      <c r="AM612" s="254" t="s">
        <v>297</v>
      </c>
      <c r="AO612" s="234">
        <v>0</v>
      </c>
      <c r="AP612" s="232">
        <f t="shared" ref="AP612:AP617" si="24">+ABS(T612)</f>
        <v>1423500</v>
      </c>
      <c r="AQ612" s="230">
        <f t="shared" si="23"/>
        <v>8</v>
      </c>
    </row>
    <row r="613" spans="1:43">
      <c r="A613" s="254">
        <v>1</v>
      </c>
      <c r="B613" s="254" t="s">
        <v>273</v>
      </c>
      <c r="C613" s="254" t="s">
        <v>280</v>
      </c>
      <c r="D613" s="255">
        <v>45900</v>
      </c>
      <c r="E613" s="255">
        <v>45900</v>
      </c>
      <c r="F613" s="254" t="s">
        <v>281</v>
      </c>
      <c r="G613" s="254" t="s">
        <v>275</v>
      </c>
      <c r="H613" s="254"/>
      <c r="I613" s="254">
        <v>142</v>
      </c>
      <c r="J613" s="254" t="s">
        <v>276</v>
      </c>
      <c r="K613" s="254">
        <v>1533010002</v>
      </c>
      <c r="L613" s="256"/>
      <c r="M613" s="256"/>
      <c r="N613" s="256"/>
      <c r="O613" s="256"/>
      <c r="P613" s="256"/>
      <c r="Q613" s="256"/>
      <c r="R613" s="256"/>
      <c r="S613" s="256"/>
      <c r="T613" s="256">
        <v>-47450</v>
      </c>
      <c r="U613" s="254" t="s">
        <v>277</v>
      </c>
      <c r="V613" s="256"/>
      <c r="W613" s="256"/>
      <c r="X613" s="256"/>
      <c r="Y613" s="256"/>
      <c r="Z613" s="256"/>
      <c r="AA613" s="256"/>
      <c r="AB613" s="256"/>
      <c r="AC613" s="254" t="s">
        <v>278</v>
      </c>
      <c r="AD613" s="256"/>
      <c r="AE613" s="256"/>
      <c r="AF613" s="256">
        <v>20250831</v>
      </c>
      <c r="AG613" s="256"/>
      <c r="AH613" s="256"/>
      <c r="AI613" s="256">
        <v>20250831</v>
      </c>
      <c r="AJ613" s="256">
        <v>8002492410</v>
      </c>
      <c r="AK613" s="256"/>
      <c r="AL613" s="256"/>
      <c r="AM613" s="254" t="s">
        <v>297</v>
      </c>
      <c r="AO613" s="234">
        <v>0</v>
      </c>
      <c r="AP613" s="232">
        <f t="shared" si="24"/>
        <v>47450</v>
      </c>
      <c r="AQ613" s="230">
        <f t="shared" si="23"/>
        <v>8</v>
      </c>
    </row>
    <row r="614" spans="1:43">
      <c r="A614" s="254">
        <v>1</v>
      </c>
      <c r="B614" s="254" t="s">
        <v>273</v>
      </c>
      <c r="C614" s="254" t="s">
        <v>280</v>
      </c>
      <c r="D614" s="255">
        <v>45900</v>
      </c>
      <c r="E614" s="255">
        <v>45900</v>
      </c>
      <c r="F614" s="254" t="s">
        <v>281</v>
      </c>
      <c r="G614" s="254" t="s">
        <v>275</v>
      </c>
      <c r="H614" s="254"/>
      <c r="I614" s="254">
        <v>143</v>
      </c>
      <c r="J614" s="254" t="s">
        <v>276</v>
      </c>
      <c r="K614" s="254">
        <v>1533010002</v>
      </c>
      <c r="L614" s="256"/>
      <c r="M614" s="256"/>
      <c r="N614" s="256"/>
      <c r="O614" s="256"/>
      <c r="P614" s="256"/>
      <c r="Q614" s="256"/>
      <c r="R614" s="256"/>
      <c r="S614" s="256"/>
      <c r="T614" s="256">
        <v>-2482953</v>
      </c>
      <c r="U614" s="254" t="s">
        <v>277</v>
      </c>
      <c r="V614" s="256"/>
      <c r="W614" s="256"/>
      <c r="X614" s="256"/>
      <c r="Y614" s="256"/>
      <c r="Z614" s="256"/>
      <c r="AA614" s="256"/>
      <c r="AB614" s="256"/>
      <c r="AC614" s="254" t="s">
        <v>278</v>
      </c>
      <c r="AD614" s="256"/>
      <c r="AE614" s="256"/>
      <c r="AF614" s="256">
        <v>20250831</v>
      </c>
      <c r="AG614" s="256"/>
      <c r="AH614" s="256"/>
      <c r="AI614" s="256">
        <v>20250831</v>
      </c>
      <c r="AJ614" s="256">
        <v>8300035647</v>
      </c>
      <c r="AK614" s="256"/>
      <c r="AL614" s="256"/>
      <c r="AM614" s="254" t="s">
        <v>286</v>
      </c>
      <c r="AO614" s="234" t="s">
        <v>109</v>
      </c>
      <c r="AP614" s="232">
        <f t="shared" si="24"/>
        <v>2482953</v>
      </c>
      <c r="AQ614" s="230">
        <f t="shared" si="23"/>
        <v>8</v>
      </c>
    </row>
    <row r="615" spans="1:43">
      <c r="A615" s="254">
        <v>1</v>
      </c>
      <c r="B615" s="254" t="s">
        <v>273</v>
      </c>
      <c r="C615" s="254" t="s">
        <v>280</v>
      </c>
      <c r="D615" s="255">
        <v>45900</v>
      </c>
      <c r="E615" s="255">
        <v>45900</v>
      </c>
      <c r="F615" s="254" t="s">
        <v>281</v>
      </c>
      <c r="G615" s="254" t="s">
        <v>275</v>
      </c>
      <c r="H615" s="254"/>
      <c r="I615" s="254">
        <v>144</v>
      </c>
      <c r="J615" s="254" t="s">
        <v>276</v>
      </c>
      <c r="K615" s="254">
        <v>1533010002</v>
      </c>
      <c r="L615" s="256"/>
      <c r="M615" s="256"/>
      <c r="N615" s="256"/>
      <c r="O615" s="256"/>
      <c r="P615" s="256"/>
      <c r="Q615" s="256"/>
      <c r="R615" s="256"/>
      <c r="S615" s="256"/>
      <c r="T615" s="256">
        <v>-1328600</v>
      </c>
      <c r="U615" s="254" t="s">
        <v>277</v>
      </c>
      <c r="V615" s="256"/>
      <c r="W615" s="256"/>
      <c r="X615" s="256"/>
      <c r="Y615" s="256"/>
      <c r="Z615" s="256"/>
      <c r="AA615" s="256"/>
      <c r="AB615" s="256"/>
      <c r="AC615" s="254" t="s">
        <v>278</v>
      </c>
      <c r="AD615" s="256"/>
      <c r="AE615" s="256"/>
      <c r="AF615" s="256">
        <v>20250831</v>
      </c>
      <c r="AG615" s="256"/>
      <c r="AH615" s="256"/>
      <c r="AI615" s="256">
        <v>20250831</v>
      </c>
      <c r="AJ615" s="256">
        <v>8002492410</v>
      </c>
      <c r="AK615" s="256"/>
      <c r="AL615" s="256"/>
      <c r="AM615" s="254" t="s">
        <v>297</v>
      </c>
      <c r="AO615" s="234">
        <v>0</v>
      </c>
      <c r="AP615" s="232">
        <f t="shared" si="24"/>
        <v>1328600</v>
      </c>
      <c r="AQ615" s="230">
        <f t="shared" si="23"/>
        <v>8</v>
      </c>
    </row>
    <row r="616" spans="1:43">
      <c r="A616" s="254">
        <v>1</v>
      </c>
      <c r="B616" s="254" t="s">
        <v>273</v>
      </c>
      <c r="C616" s="254" t="s">
        <v>280</v>
      </c>
      <c r="D616" s="255">
        <v>45900</v>
      </c>
      <c r="E616" s="255">
        <v>45900</v>
      </c>
      <c r="F616" s="254" t="s">
        <v>281</v>
      </c>
      <c r="G616" s="254" t="s">
        <v>275</v>
      </c>
      <c r="H616" s="254"/>
      <c r="I616" s="254">
        <v>145</v>
      </c>
      <c r="J616" s="254" t="s">
        <v>276</v>
      </c>
      <c r="K616" s="254">
        <v>1533010002</v>
      </c>
      <c r="L616" s="256"/>
      <c r="M616" s="256"/>
      <c r="N616" s="256"/>
      <c r="O616" s="256"/>
      <c r="P616" s="256"/>
      <c r="Q616" s="256"/>
      <c r="R616" s="256"/>
      <c r="S616" s="256"/>
      <c r="T616" s="256">
        <v>-1423500</v>
      </c>
      <c r="U616" s="254" t="s">
        <v>277</v>
      </c>
      <c r="V616" s="256"/>
      <c r="W616" s="256"/>
      <c r="X616" s="256"/>
      <c r="Y616" s="256"/>
      <c r="Z616" s="256"/>
      <c r="AA616" s="256"/>
      <c r="AB616" s="256"/>
      <c r="AC616" s="254" t="s">
        <v>278</v>
      </c>
      <c r="AD616" s="256"/>
      <c r="AE616" s="256"/>
      <c r="AF616" s="256">
        <v>20250831</v>
      </c>
      <c r="AG616" s="256"/>
      <c r="AH616" s="256"/>
      <c r="AI616" s="256">
        <v>20250831</v>
      </c>
      <c r="AJ616" s="256">
        <v>8002492410</v>
      </c>
      <c r="AK616" s="256"/>
      <c r="AL616" s="256"/>
      <c r="AM616" s="254" t="s">
        <v>297</v>
      </c>
      <c r="AO616" s="234">
        <v>0</v>
      </c>
      <c r="AP616" s="232">
        <f t="shared" si="24"/>
        <v>1423500</v>
      </c>
      <c r="AQ616" s="230">
        <f t="shared" si="23"/>
        <v>8</v>
      </c>
    </row>
    <row r="617" spans="1:43">
      <c r="A617" s="254">
        <v>1</v>
      </c>
      <c r="B617" s="254" t="s">
        <v>273</v>
      </c>
      <c r="C617" s="254" t="s">
        <v>280</v>
      </c>
      <c r="D617" s="255">
        <v>45900</v>
      </c>
      <c r="E617" s="255">
        <v>45900</v>
      </c>
      <c r="F617" s="254" t="s">
        <v>281</v>
      </c>
      <c r="G617" s="254" t="s">
        <v>275</v>
      </c>
      <c r="H617" s="254"/>
      <c r="I617" s="254">
        <v>146</v>
      </c>
      <c r="J617" s="254" t="s">
        <v>276</v>
      </c>
      <c r="K617" s="254">
        <v>1533010002</v>
      </c>
      <c r="L617" s="256"/>
      <c r="M617" s="256"/>
      <c r="N617" s="256"/>
      <c r="O617" s="256"/>
      <c r="P617" s="256"/>
      <c r="Q617" s="256"/>
      <c r="R617" s="256"/>
      <c r="S617" s="256"/>
      <c r="T617" s="256">
        <v>-7325116</v>
      </c>
      <c r="U617" s="254" t="s">
        <v>277</v>
      </c>
      <c r="V617" s="256"/>
      <c r="W617" s="256"/>
      <c r="X617" s="256"/>
      <c r="Y617" s="256"/>
      <c r="Z617" s="256"/>
      <c r="AA617" s="256"/>
      <c r="AB617" s="256"/>
      <c r="AC617" s="254" t="s">
        <v>278</v>
      </c>
      <c r="AD617" s="256"/>
      <c r="AE617" s="256"/>
      <c r="AF617" s="256">
        <v>20250831</v>
      </c>
      <c r="AG617" s="256"/>
      <c r="AH617" s="256"/>
      <c r="AI617" s="256">
        <v>20250831</v>
      </c>
      <c r="AJ617" s="256">
        <v>8002514406</v>
      </c>
      <c r="AK617" s="256"/>
      <c r="AL617" s="256"/>
      <c r="AM617" s="254" t="s">
        <v>283</v>
      </c>
      <c r="AO617" s="234" t="s">
        <v>115</v>
      </c>
      <c r="AP617" s="232">
        <f t="shared" si="24"/>
        <v>7325116</v>
      </c>
      <c r="AQ617" s="230">
        <f t="shared" si="23"/>
        <v>8</v>
      </c>
    </row>
    <row r="618" spans="1:43" s="254" customFormat="1" ht="13.8" customHeight="1">
      <c r="A618" s="254">
        <v>1</v>
      </c>
      <c r="B618" s="254" t="s">
        <v>273</v>
      </c>
      <c r="C618" s="254" t="s">
        <v>280</v>
      </c>
      <c r="D618" s="255">
        <v>45930</v>
      </c>
      <c r="E618" s="255">
        <v>45930</v>
      </c>
      <c r="F618" s="254" t="s">
        <v>281</v>
      </c>
      <c r="G618" s="254" t="s">
        <v>275</v>
      </c>
      <c r="I618" s="254">
        <f>+ROW()-1</f>
        <v>617</v>
      </c>
      <c r="J618" s="254" t="s">
        <v>276</v>
      </c>
      <c r="K618" s="254">
        <v>1533010002</v>
      </c>
      <c r="L618" s="256"/>
      <c r="M618" s="256"/>
      <c r="N618" s="256"/>
      <c r="O618" s="256"/>
      <c r="P618" s="256"/>
      <c r="Q618" s="256"/>
      <c r="R618" s="256"/>
      <c r="S618" s="256"/>
      <c r="T618" s="307">
        <v>-295802141</v>
      </c>
      <c r="U618" s="254" t="s">
        <v>277</v>
      </c>
      <c r="V618" s="256"/>
      <c r="W618" s="256"/>
      <c r="X618" s="256"/>
      <c r="Y618" s="256"/>
      <c r="Z618" s="256"/>
      <c r="AA618" s="256"/>
      <c r="AB618" s="256"/>
      <c r="AC618" s="254" t="s">
        <v>278</v>
      </c>
      <c r="AD618" s="256"/>
      <c r="AE618" s="256"/>
      <c r="AF618" s="256">
        <v>20250930</v>
      </c>
      <c r="AG618" s="256"/>
      <c r="AH618" s="256"/>
      <c r="AI618" s="256">
        <f>+AF618</f>
        <v>20250930</v>
      </c>
      <c r="AJ618" s="308">
        <v>8000887022</v>
      </c>
      <c r="AK618" s="256"/>
      <c r="AL618" s="256"/>
      <c r="AM618" s="254" t="s">
        <v>292</v>
      </c>
      <c r="AN618" s="256"/>
      <c r="AO618" s="256"/>
      <c r="AP618" s="232">
        <f>+ABS(T618)</f>
        <v>295802141</v>
      </c>
      <c r="AQ618" s="230">
        <f t="shared" si="23"/>
        <v>9</v>
      </c>
    </row>
  </sheetData>
  <autoFilter ref="A1:AQ618" xr:uid="{00000000-0009-0000-0000-000009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Resumen General x Edades</vt:lpstr>
      <vt:lpstr>PROVISION</vt:lpstr>
      <vt:lpstr>Nuevo Modelo2</vt:lpstr>
      <vt:lpstr>PRESENT 2</vt:lpstr>
      <vt:lpstr>Hoja1</vt:lpstr>
      <vt:lpstr>X Año</vt:lpstr>
      <vt:lpstr>X EPS</vt:lpstr>
      <vt:lpstr>Nuevo Modelo2 (2)</vt:lpstr>
      <vt:lpstr>X Pago</vt:lpstr>
      <vt:lpstr>PAGOS</vt:lpstr>
      <vt:lpstr>'PRESENT 2'!Área_de_impresión</vt:lpstr>
    </vt:vector>
  </TitlesOfParts>
  <Company>(PXE) Sodimac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Yenifer Paola Cardenas Lopez</dc:creator>
  <cp:lastModifiedBy>Juan Tello</cp:lastModifiedBy>
  <cp:lastPrinted>2025-08-29T19:40:20Z</cp:lastPrinted>
  <dcterms:created xsi:type="dcterms:W3CDTF">2024-03-20T11:53:10Z</dcterms:created>
  <dcterms:modified xsi:type="dcterms:W3CDTF">2025-10-29T14:32:19Z</dcterms:modified>
</cp:coreProperties>
</file>